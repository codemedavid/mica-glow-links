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vaparejo/Documents/"/>
    </mc:Choice>
  </mc:AlternateContent>
  <xr:revisionPtr revIDLastSave="0" documentId="8_{8A7092FF-61BF-4749-90CA-F7076930472F}" xr6:coauthVersionLast="47" xr6:coauthVersionMax="47" xr10:uidLastSave="{00000000-0000-0000-0000-000000000000}"/>
  <bookViews>
    <workbookView xWindow="1500" yWindow="1400" windowWidth="27640" windowHeight="16520" xr2:uid="{8589E292-2C73-F445-A6D6-BE4918757E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6" i="1" l="1"/>
  <c r="E164" i="1"/>
  <c r="F164" i="1" s="1"/>
  <c r="E163" i="1"/>
  <c r="F163" i="1" s="1"/>
  <c r="E162" i="1"/>
  <c r="F162" i="1" s="1"/>
  <c r="E161" i="1"/>
  <c r="F161" i="1" s="1"/>
  <c r="F160" i="1"/>
  <c r="E160" i="1"/>
  <c r="E159" i="1"/>
  <c r="F159" i="1" s="1"/>
  <c r="E158" i="1"/>
  <c r="F158" i="1" s="1"/>
  <c r="E157" i="1"/>
  <c r="F157" i="1" s="1"/>
  <c r="F156" i="1"/>
  <c r="E156" i="1"/>
  <c r="F155" i="1"/>
  <c r="E155" i="1"/>
  <c r="F154" i="1"/>
  <c r="E154" i="1"/>
  <c r="F153" i="1"/>
  <c r="E153" i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F134" i="1"/>
  <c r="E134" i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5" i="1"/>
  <c r="F125" i="1" s="1"/>
  <c r="E124" i="1"/>
  <c r="F124" i="1" s="1"/>
  <c r="F123" i="1"/>
  <c r="E123" i="1"/>
  <c r="E122" i="1"/>
  <c r="F122" i="1" s="1"/>
  <c r="E121" i="1"/>
  <c r="F121" i="1" s="1"/>
  <c r="E120" i="1"/>
  <c r="F120" i="1" s="1"/>
  <c r="E119" i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F52" i="1"/>
  <c r="E52" i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F28" i="1"/>
  <c r="E28" i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F13" i="1"/>
  <c r="E13" i="1"/>
  <c r="E12" i="1"/>
  <c r="F12" i="1" s="1"/>
  <c r="E11" i="1"/>
  <c r="F11" i="1" s="1"/>
  <c r="E9" i="1"/>
  <c r="F9" i="1" s="1"/>
  <c r="E8" i="1"/>
  <c r="F8" i="1" s="1"/>
  <c r="E7" i="1"/>
  <c r="F7" i="1" s="1"/>
</calcChain>
</file>

<file path=xl/sharedStrings.xml><?xml version="1.0" encoding="utf-8"?>
<sst xmlns="http://schemas.openxmlformats.org/spreadsheetml/2006/main" count="810" uniqueCount="374">
  <si>
    <t>Current GB</t>
  </si>
  <si>
    <t xml:space="preserve">GB mini 4/7
</t>
  </si>
  <si>
    <t xml:space="preserve">
4/10
GB mini 4/14
4/17
GB mini 4/21
4/24
GB mini 4/28</t>
  </si>
  <si>
    <t>USD to PHP</t>
  </si>
  <si>
    <t>🪬 𓂀🧿</t>
  </si>
  <si>
    <t>Per vial purchase only applies to Group Buy
NEXT GROUP BUY  IS POSTED ABOVE</t>
  </si>
  <si>
    <t>Individual Buy - Shipping Fee Starts at $45  Delivery time: 1-2 weeks</t>
  </si>
  <si>
    <t>Code</t>
  </si>
  <si>
    <t>Name</t>
  </si>
  <si>
    <t>Specification</t>
  </si>
  <si>
    <t>Price $</t>
  </si>
  <si>
    <t>🔟 VIALS OR 1 BOX 
Updated price as of 1/20/2026 12:15AM</t>
  </si>
  <si>
    <t>Per vial cost
(Per vial purchase only applies to Group Buy)</t>
  </si>
  <si>
    <t>MICA'S ONHAND (LUZON &amp; VISAYAS)</t>
  </si>
  <si>
    <t>MINDANAO/GLIA 
ONHAND
as of 3/2/26</t>
  </si>
  <si>
    <t>BA3PH</t>
  </si>
  <si>
    <r>
      <rPr>
        <b/>
        <sz val="11"/>
        <color rgb="FF000000"/>
        <rFont val="Calibri"/>
        <family val="2"/>
      </rPr>
      <t xml:space="preserve">Mica's Top Pick 💯 🔥 </t>
    </r>
    <r>
      <rPr>
        <sz val="11"/>
        <color rgb="FF000000"/>
        <rFont val="Calibri"/>
        <family val="2"/>
      </rPr>
      <t xml:space="preserve">
BAPH pharma-grade bacteriostatic sterile water + 0.9% Benzyl Alcohol 
Custom pH level of 5.9 or 6.72 to 7.62</t>
    </r>
  </si>
  <si>
    <r>
      <rPr>
        <b/>
        <sz val="11"/>
        <color rgb="FF000000"/>
        <rFont val="Calibri"/>
        <family val="2"/>
      </rPr>
      <t xml:space="preserve">Custom PH
</t>
    </r>
    <r>
      <rPr>
        <sz val="11"/>
        <color rgb="FF000000"/>
        <rFont val="Calibri"/>
        <family val="2"/>
      </rPr>
      <t>Best used for pH sensitive peptides like:
• AOD-9604
• Tesamorelin
• Sermorelin Acetate
• Retatrutide
• Cagrilintide
• MOTs-C
• GHKCu
• Kisspeptin-10
• CJC + Ipamorelin</t>
    </r>
  </si>
  <si>
    <t>On Hand ✓</t>
  </si>
  <si>
    <t>PLENTY</t>
  </si>
  <si>
    <t>BA5PH</t>
  </si>
  <si>
    <r>
      <rPr>
        <b/>
        <sz val="11"/>
        <color rgb="FF000000"/>
        <rFont val="Calibri"/>
        <family val="2"/>
      </rPr>
      <t xml:space="preserve">Mica's Top Pick 💯 🔥 
</t>
    </r>
    <r>
      <rPr>
        <sz val="11"/>
        <color rgb="FF000000"/>
        <rFont val="Calibri"/>
        <family val="2"/>
      </rPr>
      <t>BAPH pharma-grade bacteriostatic sterile water + 0.9% Benzyl Alcohol 
Custom pH level of 5.9 or 6.72 to 7.62</t>
    </r>
  </si>
  <si>
    <t>BA10PH</t>
  </si>
  <si>
    <t>BW10-India</t>
  </si>
  <si>
    <r>
      <rPr>
        <sz val="11"/>
        <color rgb="FF000000"/>
        <rFont val="Calibri"/>
        <family val="2"/>
      </rPr>
      <t xml:space="preserve">Bacteriostatic Water for Injection (USP)  10ml Ampoules
</t>
    </r>
    <r>
      <rPr>
        <b/>
        <sz val="11"/>
        <color rgb="FF000000"/>
        <rFont val="Calibri"/>
        <family val="2"/>
      </rPr>
      <t>Made in India</t>
    </r>
    <r>
      <rPr>
        <sz val="11"/>
        <color rgb="FF000000"/>
        <rFont val="Calibri"/>
        <family val="2"/>
      </rPr>
      <t xml:space="preserve">
Not bottled — comes in sealed plastic ampoules for easy and clean use.</t>
    </r>
  </si>
  <si>
    <r>
      <rPr>
        <b/>
        <sz val="11"/>
        <color rgb="FF000000"/>
        <rFont val="Calibri"/>
        <family val="2"/>
      </rPr>
      <t>10ml Ampoules</t>
    </r>
    <r>
      <rPr>
        <sz val="11"/>
        <color rgb="FF000000"/>
        <rFont val="Calibri"/>
        <family val="2"/>
      </rPr>
      <t xml:space="preserve">
Best used for pH sensitive peptides like AOD-9604, Tesamorelin, and Sermorelin Acetate.</t>
    </r>
  </si>
  <si>
    <t>--</t>
  </si>
  <si>
    <t>/1</t>
  </si>
  <si>
    <t>ONHAND</t>
  </si>
  <si>
    <t>WA3</t>
  </si>
  <si>
    <t>Phosphate Buffered Saline 3ml</t>
  </si>
  <si>
    <t>Phosphate buffered saline
3 ml/vial, 10 vials/kits</t>
  </si>
  <si>
    <t>*NEW</t>
  </si>
  <si>
    <t>5mL ONHAND</t>
  </si>
  <si>
    <t>WA10</t>
  </si>
  <si>
    <t>Phosphate Buffered Saline 10ml</t>
  </si>
  <si>
    <t>Phosphate buffered saline
10 ml/vial, 10 vials/kits</t>
  </si>
  <si>
    <t>SM2</t>
  </si>
  <si>
    <t>Semaglutide</t>
  </si>
  <si>
    <t>2 mg/vial，10vial/kit</t>
  </si>
  <si>
    <t>OUT</t>
  </si>
  <si>
    <t>SM55</t>
  </si>
  <si>
    <t>5 mg/vial，10vial/kit</t>
  </si>
  <si>
    <t>out</t>
  </si>
  <si>
    <t>SM10</t>
  </si>
  <si>
    <t>10 mg/vial，10vial/kit</t>
  </si>
  <si>
    <t>5 vials left</t>
  </si>
  <si>
    <t>SM15</t>
  </si>
  <si>
    <t>15 mg/vial，10vial/kit</t>
  </si>
  <si>
    <t>SM20</t>
  </si>
  <si>
    <t>20 mg/vial，10vial/kit</t>
  </si>
  <si>
    <t>SM30</t>
  </si>
  <si>
    <t>30 mg/vial，10vial/kit</t>
  </si>
  <si>
    <t>TR5</t>
  </si>
  <si>
    <r>
      <rPr>
        <b/>
        <sz val="11"/>
        <color rgb="FF000000"/>
        <rFont val="Calibri"/>
        <family val="2"/>
      </rPr>
      <t xml:space="preserve">Mica's Top Pick 💯 🔥 
</t>
    </r>
    <r>
      <rPr>
        <sz val="11"/>
        <color rgb="FF000000"/>
        <rFont val="Calibri"/>
        <family val="2"/>
      </rPr>
      <t xml:space="preserve">Tirzepatide </t>
    </r>
    <r>
      <rPr>
        <b/>
        <sz val="11"/>
        <color rgb="FF000000"/>
        <rFont val="Calibri"/>
        <family val="2"/>
      </rPr>
      <t>(With Vanguard and Janoshik Lab Test)</t>
    </r>
  </si>
  <si>
    <t>5 mg/vial, 10 vials/kits</t>
  </si>
  <si>
    <t>LOW STOCK</t>
  </si>
  <si>
    <t>TR10</t>
  </si>
  <si>
    <t>10 mg/vial, 10 vials/kits</t>
  </si>
  <si>
    <t>COUPLE BOXES</t>
  </si>
  <si>
    <t>TR15</t>
  </si>
  <si>
    <t>15 mg/vial, 10 vials/kits</t>
  </si>
  <si>
    <t>TR20</t>
  </si>
  <si>
    <t>20 mg/vial, 10 vials/kits</t>
  </si>
  <si>
    <t xml:space="preserve"> TR30</t>
  </si>
  <si>
    <t>30 mg/vial, 10 vials/kits</t>
  </si>
  <si>
    <t>TR40</t>
  </si>
  <si>
    <t>40 mg/vial, 10 vials/kits</t>
  </si>
  <si>
    <t>2 BOXES</t>
  </si>
  <si>
    <t>TR50</t>
  </si>
  <si>
    <t>50 mg/vial, 10 vials/kits</t>
  </si>
  <si>
    <t>TR60</t>
  </si>
  <si>
    <t>60 mg/vial, 10 vials/kits</t>
  </si>
  <si>
    <t>RT5</t>
  </si>
  <si>
    <t>Retatrutide</t>
  </si>
  <si>
    <t>RT10</t>
  </si>
  <si>
    <t>RT15</t>
  </si>
  <si>
    <t>RT20</t>
  </si>
  <si>
    <t>RT30</t>
  </si>
  <si>
    <t>ML10</t>
  </si>
  <si>
    <t>MT-2 (Melanotan 2 Acetate)</t>
  </si>
  <si>
    <t>IP5</t>
  </si>
  <si>
    <t>Ipamorelin</t>
  </si>
  <si>
    <t>IP10</t>
  </si>
  <si>
    <t>BC5</t>
  </si>
  <si>
    <t>BPC-157</t>
  </si>
  <si>
    <t>BC10</t>
  </si>
  <si>
    <t>BT5</t>
  </si>
  <si>
    <t>TB-500</t>
  </si>
  <si>
    <t>BT10</t>
  </si>
  <si>
    <t>BB10</t>
  </si>
  <si>
    <t>BPC 5mg + TB 5mg</t>
  </si>
  <si>
    <t>BB20</t>
  </si>
  <si>
    <r>
      <rPr>
        <b/>
        <sz val="11"/>
        <color rgb="FF000000"/>
        <rFont val="Calibri"/>
        <family val="2"/>
      </rPr>
      <t xml:space="preserve">Mica HIGHLY RECOMMENDS 💯 🔥 
</t>
    </r>
    <r>
      <rPr>
        <sz val="11"/>
        <color rgb="FF000000"/>
        <rFont val="Calibri"/>
        <family val="2"/>
      </rPr>
      <t xml:space="preserve">BPC 10mg + TB 10mg  </t>
    </r>
  </si>
  <si>
    <t>2AD</t>
  </si>
  <si>
    <t>AOD-9604 2mg</t>
  </si>
  <si>
    <t>2 mg/vial, 10 vials/kits</t>
  </si>
  <si>
    <t>5AD</t>
  </si>
  <si>
    <t>AOD-9604 5mg</t>
  </si>
  <si>
    <t>G5K</t>
  </si>
  <si>
    <t>HCG</t>
  </si>
  <si>
    <t>5000 iu, 10 vials/kits</t>
  </si>
  <si>
    <t>G10K</t>
  </si>
  <si>
    <t>10000 iu, 10 vials/kits</t>
  </si>
  <si>
    <t>P41</t>
  </si>
  <si>
    <r>
      <rPr>
        <b/>
        <sz val="14"/>
        <color rgb="FF000000"/>
        <rFont val="Calibri"/>
        <family val="2"/>
      </rPr>
      <t xml:space="preserve">Mica HIGHLY RECOMMENDS 💯 🔥 
</t>
    </r>
    <r>
      <rPr>
        <sz val="14"/>
        <color rgb="FF000000"/>
        <rFont val="Calibri"/>
        <family val="2"/>
      </rPr>
      <t>PT-141</t>
    </r>
  </si>
  <si>
    <t>DS5</t>
  </si>
  <si>
    <t>DSIP</t>
  </si>
  <si>
    <t>SK5</t>
  </si>
  <si>
    <r>
      <rPr>
        <b/>
        <sz val="11"/>
        <color rgb="FF000000"/>
        <rFont val="Calibri"/>
        <family val="2"/>
      </rPr>
      <t xml:space="preserve">Mica HIGHLY RECOMMENDS 💯 🔥 
</t>
    </r>
    <r>
      <rPr>
        <sz val="11"/>
        <color rgb="FF000000"/>
        <rFont val="Calibri"/>
        <family val="2"/>
      </rPr>
      <t>Selank</t>
    </r>
  </si>
  <si>
    <t>SK10</t>
  </si>
  <si>
    <t>OT2</t>
  </si>
  <si>
    <r>
      <rPr>
        <b/>
        <sz val="11"/>
        <color rgb="FF000000"/>
        <rFont val="Calibri"/>
        <family val="2"/>
      </rPr>
      <t xml:space="preserve">Mica HIGHLY RECOMMENDS 💯 🔥 
</t>
    </r>
    <r>
      <rPr>
        <sz val="11"/>
        <color rgb="FF000000"/>
        <rFont val="Calibri"/>
        <family val="2"/>
      </rPr>
      <t>Oxytocin</t>
    </r>
  </si>
  <si>
    <t>ET10</t>
  </si>
  <si>
    <t>Epitalon</t>
  </si>
  <si>
    <t>ET50</t>
  </si>
  <si>
    <r>
      <rPr>
        <b/>
        <sz val="11"/>
        <color rgb="FF000000"/>
        <rFont val="Calibri"/>
        <family val="2"/>
      </rPr>
      <t xml:space="preserve">Mica HIGHLY RECOMMENDS 💯 🔥 
</t>
    </r>
    <r>
      <rPr>
        <sz val="11"/>
        <color rgb="FF000000"/>
        <rFont val="Calibri"/>
        <family val="2"/>
      </rPr>
      <t>Epitalon</t>
    </r>
  </si>
  <si>
    <t>AP2</t>
  </si>
  <si>
    <t>Adipotide</t>
  </si>
  <si>
    <t>AP5</t>
  </si>
  <si>
    <t>XA5</t>
  </si>
  <si>
    <r>
      <rPr>
        <b/>
        <sz val="11"/>
        <color rgb="FF000000"/>
        <rFont val="Calibri"/>
        <family val="2"/>
      </rPr>
      <t xml:space="preserve">Mica HIGHLY RECOMMENDS 💯 🔥 
</t>
    </r>
    <r>
      <rPr>
        <sz val="11"/>
        <color rgb="FF000000"/>
        <rFont val="Calibri"/>
        <family val="2"/>
      </rPr>
      <t>Semax</t>
    </r>
  </si>
  <si>
    <t>XA10</t>
  </si>
  <si>
    <r>
      <rPr>
        <b/>
        <sz val="11"/>
        <color rgb="FF000000"/>
        <rFont val="Calibri"/>
        <family val="2"/>
      </rPr>
      <t xml:space="preserve">Mica HIGHLY RECOMMENDS 💯 🔥  
</t>
    </r>
    <r>
      <rPr>
        <sz val="11"/>
        <color rgb="FF000000"/>
        <rFont val="Calibri"/>
        <family val="2"/>
      </rPr>
      <t>Semax</t>
    </r>
  </si>
  <si>
    <t>2S10</t>
  </si>
  <si>
    <t>SS-31 10mg</t>
  </si>
  <si>
    <t>2S50</t>
  </si>
  <si>
    <t>SS-31 50mg</t>
  </si>
  <si>
    <t>G65</t>
  </si>
  <si>
    <t>GHRP-6 Acetate</t>
  </si>
  <si>
    <t>G610</t>
  </si>
  <si>
    <t>CND5</t>
  </si>
  <si>
    <t>CJC-1295 NO dac</t>
  </si>
  <si>
    <t>CND10</t>
  </si>
  <si>
    <t>CD5</t>
  </si>
  <si>
    <t>CJC-1295 With dac</t>
  </si>
  <si>
    <t>CP10</t>
  </si>
  <si>
    <t>CJC-1295 without DAC + IPA</t>
  </si>
  <si>
    <t>5mg + 5mg, 10 vials/kits</t>
  </si>
  <si>
    <t>SMO5</t>
  </si>
  <si>
    <t>Sermorelin Acetate</t>
  </si>
  <si>
    <t>SMO10</t>
  </si>
  <si>
    <t>IG01</t>
  </si>
  <si>
    <t>IGF-1LR3</t>
  </si>
  <si>
    <t>0.1 mg/vial, 10 vials/kits</t>
  </si>
  <si>
    <t>IG1</t>
  </si>
  <si>
    <t>IGF-1</t>
  </si>
  <si>
    <t>1 mg/vial, 10 vials/kits</t>
  </si>
  <si>
    <t>IGD</t>
  </si>
  <si>
    <t>IGF-DES</t>
  </si>
  <si>
    <t>TSM5</t>
  </si>
  <si>
    <t>Tesamorelin</t>
  </si>
  <si>
    <t>TSM10</t>
  </si>
  <si>
    <t>1 BOX</t>
  </si>
  <si>
    <t>HX5</t>
  </si>
  <si>
    <t>Hexarelin Acetate</t>
  </si>
  <si>
    <t>CU50</t>
  </si>
  <si>
    <r>
      <rPr>
        <b/>
        <sz val="14"/>
        <color rgb="FF000000"/>
        <rFont val="Calibri"/>
        <family val="2"/>
      </rPr>
      <t xml:space="preserve">Mica HIGHLY RECOMMENDS 💯 🔥 
</t>
    </r>
    <r>
      <rPr>
        <sz val="14"/>
        <color rgb="FF000000"/>
        <rFont val="Calibri"/>
        <family val="2"/>
      </rPr>
      <t xml:space="preserve">
GHK-CU
</t>
    </r>
    <r>
      <rPr>
        <b/>
        <sz val="14"/>
        <color rgb="FF000000"/>
        <rFont val="Calibri"/>
        <family val="2"/>
      </rPr>
      <t>(With Vanguard and Janoshik Lab Test)</t>
    </r>
  </si>
  <si>
    <t>CU100</t>
  </si>
  <si>
    <t>100 mg/vial, 10 vials/kits</t>
  </si>
  <si>
    <t>AU50</t>
  </si>
  <si>
    <t>AHK-CU 50mg</t>
  </si>
  <si>
    <t>AU100</t>
  </si>
  <si>
    <t>AHK-CU 100mg</t>
  </si>
  <si>
    <t xml:space="preserve"> </t>
  </si>
  <si>
    <t>KS5</t>
  </si>
  <si>
    <t>KissPeptin-10 5 MG</t>
  </si>
  <si>
    <t>KS10</t>
  </si>
  <si>
    <t>KissPeptin-10</t>
  </si>
  <si>
    <t>TY10</t>
  </si>
  <si>
    <t>Thymalin</t>
  </si>
  <si>
    <t>TA5</t>
  </si>
  <si>
    <t>Thymosin Alpha-1</t>
  </si>
  <si>
    <t>TA10</t>
  </si>
  <si>
    <r>
      <rPr>
        <b/>
        <sz val="14"/>
        <color rgb="FF000000"/>
        <rFont val="Calibri"/>
        <family val="2"/>
      </rPr>
      <t xml:space="preserve">Mica's FAVORITE 💯 🔥 
</t>
    </r>
    <r>
      <rPr>
        <sz val="14"/>
        <color rgb="FF000000"/>
        <rFont val="Calibri"/>
        <family val="2"/>
      </rPr>
      <t>Thymosin Alpha-1</t>
    </r>
  </si>
  <si>
    <t>MS10</t>
  </si>
  <si>
    <t>MOTs-c</t>
  </si>
  <si>
    <t>MS40</t>
  </si>
  <si>
    <t>LL37</t>
  </si>
  <si>
    <t>LOW</t>
  </si>
  <si>
    <t>MT10</t>
  </si>
  <si>
    <t>Melatonin</t>
  </si>
  <si>
    <t>DR5</t>
  </si>
  <si>
    <t>Dermorphin</t>
  </si>
  <si>
    <t>GP</t>
  </si>
  <si>
    <t>GLP-1</t>
  </si>
  <si>
    <t>GTT</t>
  </si>
  <si>
    <r>
      <rPr>
        <b/>
        <sz val="13"/>
        <color rgb="FF000000"/>
        <rFont val="Calibri"/>
        <family val="2"/>
      </rPr>
      <t xml:space="preserve">Mica's FAVORITE 💯 🔥 
</t>
    </r>
    <r>
      <rPr>
        <sz val="13"/>
        <color rgb="FF000000"/>
        <rFont val="Calibri"/>
        <family val="2"/>
      </rPr>
      <t>Glutathione</t>
    </r>
  </si>
  <si>
    <t>1500 mg/vial, 10 vials/kits</t>
  </si>
  <si>
    <t>XT100</t>
  </si>
  <si>
    <t>Botulinum toxin</t>
  </si>
  <si>
    <r>
      <rPr>
        <b/>
        <sz val="11"/>
        <color rgb="FF000000"/>
        <rFont val="Calibri"/>
        <family val="2"/>
      </rPr>
      <t xml:space="preserve">100 iu/vial, </t>
    </r>
    <r>
      <rPr>
        <b/>
        <sz val="11"/>
        <color rgb="FF000000"/>
        <rFont val="Calibri"/>
        <family val="2"/>
      </rPr>
      <t>10 vial/kits</t>
    </r>
  </si>
  <si>
    <t>NJ100</t>
  </si>
  <si>
    <t>NAD+</t>
  </si>
  <si>
    <t>NJ500</t>
  </si>
  <si>
    <r>
      <rPr>
        <b/>
        <sz val="14"/>
        <color rgb="FF000000"/>
        <rFont val="Calibri"/>
        <family val="2"/>
      </rPr>
      <t xml:space="preserve">Mica's FAVORITE 💯 🔥 </t>
    </r>
    <r>
      <rPr>
        <sz val="14"/>
        <color rgb="FF000000"/>
        <rFont val="Calibri"/>
        <family val="2"/>
      </rPr>
      <t xml:space="preserve">
NAD+
</t>
    </r>
    <r>
      <rPr>
        <b/>
        <sz val="14"/>
        <color rgb="FF000000"/>
        <rFont val="Calibri"/>
        <family val="2"/>
      </rPr>
      <t>(With Vanguard and Janoshik Lab Test)</t>
    </r>
  </si>
  <si>
    <t>500 mg/vial, 10 vials/kits</t>
  </si>
  <si>
    <t>5AM.</t>
  </si>
  <si>
    <t>5-amino-1mq</t>
  </si>
  <si>
    <t>5 mg/vial</t>
  </si>
  <si>
    <t>10AM.</t>
  </si>
  <si>
    <t>10 mg/vial</t>
  </si>
  <si>
    <t>50AM.</t>
  </si>
  <si>
    <t>50 mg/vial</t>
  </si>
  <si>
    <t>G75</t>
  </si>
  <si>
    <t>HMG</t>
  </si>
  <si>
    <t>75 iu</t>
  </si>
  <si>
    <t>E3K</t>
  </si>
  <si>
    <t>EPO</t>
  </si>
  <si>
    <t>3000 iu</t>
  </si>
  <si>
    <t>CBL60</t>
  </si>
  <si>
    <t>Cerebrolysin</t>
  </si>
  <si>
    <t>60 mg, 6 vials</t>
  </si>
  <si>
    <t>/6</t>
  </si>
  <si>
    <t>HA5</t>
  </si>
  <si>
    <t>Hyaluronic acid</t>
  </si>
  <si>
    <t>1ml/vial</t>
  </si>
  <si>
    <t>CGL5</t>
  </si>
  <si>
    <t>Cagrilintide</t>
  </si>
  <si>
    <t>CGL10</t>
  </si>
  <si>
    <t>RA10</t>
  </si>
  <si>
    <t>Ara-290</t>
  </si>
  <si>
    <t>NP810</t>
  </si>
  <si>
    <t>Snap-8</t>
  </si>
  <si>
    <t>MDT10</t>
  </si>
  <si>
    <t>Mazdutide</t>
  </si>
  <si>
    <t>KPV5</t>
  </si>
  <si>
    <t>KPV</t>
  </si>
  <si>
    <t>KPV10</t>
  </si>
  <si>
    <t>LC120</t>
  </si>
  <si>
    <t>Lipo-C</t>
  </si>
  <si>
    <t>10 ml/vial, 10 vials/kits</t>
  </si>
  <si>
    <t>LC216</t>
  </si>
  <si>
    <t>Lipo-C with vitamins B12
• L-Carnitine 20mg
• Arginine 20mg
• Methionine 25mg
• Inositol 50mg
• Choline 50mg
• B5 Dexpan 25mg
• B6 25mg
• B12 Methyl 1mg</t>
  </si>
  <si>
    <t>LC600</t>
  </si>
  <si>
    <t xml:space="preserve">L-Carnitine 600mg               </t>
  </si>
  <si>
    <t>SUR10</t>
  </si>
  <si>
    <t>Survodutide</t>
  </si>
  <si>
    <t>CS5</t>
  </si>
  <si>
    <t>Cagrilintide + Semaglutide</t>
  </si>
  <si>
    <t>CS10</t>
  </si>
  <si>
    <t>BBG70</t>
  </si>
  <si>
    <t>GLOW (BPC-157 + GHK-CU + TB500)</t>
  </si>
  <si>
    <t>70 mg/vial, 10 vials/kits</t>
  </si>
  <si>
    <t>KLOW80</t>
  </si>
  <si>
    <t>KLOW (CU50+TB10+BC10+KPV10)</t>
  </si>
  <si>
    <t>80 mg/vial, 10 vials/kits</t>
  </si>
  <si>
    <t>PNC27</t>
  </si>
  <si>
    <t>PNC 27</t>
  </si>
  <si>
    <t>PNC27-10</t>
  </si>
  <si>
    <t>PI10</t>
  </si>
  <si>
    <t>Pinealon</t>
  </si>
  <si>
    <t>P20</t>
  </si>
  <si>
    <t>H10</t>
  </si>
  <si>
    <t>HGH 191AA (Somatropin)</t>
  </si>
  <si>
    <t>10 iu, 10 vials</t>
  </si>
  <si>
    <t>H15</t>
  </si>
  <si>
    <t xml:space="preserve">HGH 191AA (Somatropin) </t>
  </si>
  <si>
    <t>15 iu, 10 vials</t>
  </si>
  <si>
    <t>FR5</t>
  </si>
  <si>
    <t>HGH Fragment 176-191</t>
  </si>
  <si>
    <t>5 mg, 10 vials</t>
  </si>
  <si>
    <t>OUT OF STOCK</t>
  </si>
  <si>
    <t>Lemon Bottle</t>
  </si>
  <si>
    <t>VIP5</t>
  </si>
  <si>
    <t>Vasoactive Intestinal Peptide</t>
  </si>
  <si>
    <t>VIP10</t>
  </si>
  <si>
    <t>SLU-PP-322</t>
  </si>
  <si>
    <t>AA3</t>
  </si>
  <si>
    <t>Acetic Acid Water 0.6%</t>
  </si>
  <si>
    <t>3 ml/vial, 10 vials/kits</t>
  </si>
  <si>
    <t>AA10</t>
  </si>
  <si>
    <t>T500</t>
  </si>
  <si>
    <t xml:space="preserve"> Tesofensine 500mcg.</t>
  </si>
  <si>
    <t>100 MCG. TAB 100 PCS.</t>
  </si>
  <si>
    <t>out of stock</t>
  </si>
  <si>
    <t>HHB</t>
  </si>
  <si>
    <r>
      <rPr>
        <b/>
        <sz val="11"/>
        <color rgb="FF000000"/>
        <rFont val="Calibri"/>
        <family val="2"/>
      </rPr>
      <t xml:space="preserve">Mica's FAVORITE 💯 🔥 
Healthy Hair Skin Nails Blend 
</t>
    </r>
    <r>
      <rPr>
        <sz val="11"/>
        <color rgb="FF000000"/>
        <rFont val="Calibri"/>
        <family val="2"/>
      </rPr>
      <t>NIACINAMIDE  50mg
THIAMINE HCL  50mg
PANTOTHENIC ACID  25mg
CHOLINE  10mg
INOSITOL  10mg
NIACIN  5mg
BIOTIN  100mcg
FOLIC ACID  100mcg
RIBOFLAVIN  100mcg</t>
    </r>
  </si>
  <si>
    <t>10ML X 150.3MG./ML/VIAL, 10 vials/kit</t>
  </si>
  <si>
    <t>LC526</t>
  </si>
  <si>
    <r>
      <rPr>
        <b/>
        <sz val="11"/>
        <color rgb="FF000000"/>
        <rFont val="Calibri"/>
        <family val="2"/>
      </rPr>
      <t xml:space="preserve">FAT BLASTER LIPO-C
</t>
    </r>
    <r>
      <rPr>
        <sz val="11"/>
        <color rgb="FF000000"/>
        <rFont val="Calibri"/>
        <family val="2"/>
      </rPr>
      <t>L-Carnitine 300 mg/ml
Methionine 25 mg/ml
Inositol 50 mg/ml
Choline 50 mg/ml
Vitamin B12 1 mg/ml
Vitamin B6 50 mg/ml
NADH 50 mg/ml
Lidocaine 0.1 %
Benzyl Alcohol 2 %</t>
    </r>
  </si>
  <si>
    <t xml:space="preserve"> 10ml x 526mg/ml/vial, 10 vials/kit</t>
  </si>
  <si>
    <t>SBH</t>
  </si>
  <si>
    <r>
      <rPr>
        <b/>
        <sz val="11"/>
        <color rgb="FF000000"/>
        <rFont val="Calibri"/>
        <family val="2"/>
      </rPr>
      <t xml:space="preserve">Mica's FAVORITE 💯 🔥 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Super Human Blend
</t>
    </r>
    <r>
      <rPr>
        <sz val="11"/>
        <color rgb="FF000000"/>
        <rFont val="Calibri"/>
        <family val="2"/>
      </rPr>
      <t xml:space="preserve">L-ARGININE 110 MG,
L-CITRULLINE 120 MG,
L-LYSINE 70MG,
L-GLUTAMINE 40 MG,
L-TAURINE 60 MG,
L-ORNITHINE 110 MG
L-PROLINE 60 MG
L-CARNITINE 220 MG
NAC 75 MG
</t>
    </r>
  </si>
  <si>
    <t>10 ml./ 865mg</t>
  </si>
  <si>
    <t>VI120</t>
  </si>
  <si>
    <t>VILON</t>
  </si>
  <si>
    <t>20mg, 10 vials</t>
  </si>
  <si>
    <t>PRO20</t>
  </si>
  <si>
    <t>Alpostadil</t>
  </si>
  <si>
    <t>20mcg, 10 vials</t>
  </si>
  <si>
    <t>AD5</t>
  </si>
  <si>
    <t>Adamax</t>
  </si>
  <si>
    <t>5mg, 10 vials</t>
  </si>
  <si>
    <t>PE10</t>
  </si>
  <si>
    <t>PE 22-88</t>
  </si>
  <si>
    <t>10mg, 10 vials</t>
  </si>
  <si>
    <t>HU10</t>
  </si>
  <si>
    <t>Humanin</t>
  </si>
  <si>
    <t>TER10</t>
  </si>
  <si>
    <t>Teriparatide</t>
  </si>
  <si>
    <t>BR20</t>
  </si>
  <si>
    <t>Bronchogen</t>
  </si>
  <si>
    <t>CA20</t>
  </si>
  <si>
    <t>Cardiogen</t>
  </si>
  <si>
    <t>COR20</t>
  </si>
  <si>
    <t>Cortagen</t>
  </si>
  <si>
    <t>LI20</t>
  </si>
  <si>
    <t>Livagen</t>
  </si>
  <si>
    <t>PA20</t>
  </si>
  <si>
    <t>Pancragen</t>
  </si>
  <si>
    <t>MAX20</t>
  </si>
  <si>
    <t>Prostamax</t>
  </si>
  <si>
    <t>LAX20</t>
  </si>
  <si>
    <t>Cartalax</t>
  </si>
  <si>
    <t>CH20</t>
  </si>
  <si>
    <t>Chonluten</t>
  </si>
  <si>
    <t>CRY20</t>
  </si>
  <si>
    <t>Crystalagen</t>
  </si>
  <si>
    <t>OV20</t>
  </si>
  <si>
    <t>Ovagen</t>
  </si>
  <si>
    <t>VE20</t>
  </si>
  <si>
    <t>Vesugen</t>
  </si>
  <si>
    <t>XS20</t>
  </si>
  <si>
    <t>Semax 10mg + Selank 10mg</t>
  </si>
  <si>
    <t>LL5</t>
  </si>
  <si>
    <t>Liraglutide</t>
  </si>
  <si>
    <t>LL10</t>
  </si>
  <si>
    <t>LL30</t>
  </si>
  <si>
    <t>30mg, 10 vials</t>
  </si>
  <si>
    <t>MA10</t>
  </si>
  <si>
    <t>Matrixyl</t>
  </si>
  <si>
    <t>PTD5</t>
  </si>
  <si>
    <t>PTD-DBM</t>
  </si>
  <si>
    <t>AUCG1G</t>
  </si>
  <si>
    <t>Mica HIGHLY RECOMMENDS 💯 🔥 
AHKCu Cosmetic Grade | 1 gram</t>
  </si>
  <si>
    <t>1g.</t>
  </si>
  <si>
    <t>CUCG1G</t>
  </si>
  <si>
    <t xml:space="preserve">Mica HIGHLY RECOMMENDS 💯 🔥 
GHKCu Cosmetic Grade | 1 gram </t>
  </si>
  <si>
    <t>MACG1G</t>
  </si>
  <si>
    <t>Matrixyl Cosmetic Grade| 1 gram</t>
  </si>
  <si>
    <t>PDRN</t>
  </si>
  <si>
    <t xml:space="preserve">PDRN Cosmetic Grade | 1 gram </t>
  </si>
  <si>
    <t>THEMICABLEND</t>
  </si>
  <si>
    <t xml:space="preserve">Mica HIGHLY RECOMMENDS 💯 🔥 
KPV 10mg + GHKCu 50mg </t>
  </si>
  <si>
    <t>60mg, 10 vials</t>
  </si>
  <si>
    <t>NXA30</t>
  </si>
  <si>
    <t>NA SEMAX AMIDATE</t>
  </si>
  <si>
    <t>NSK30</t>
  </si>
  <si>
    <t>NA SELANK AMIDATE</t>
  </si>
  <si>
    <t>PDRNSerum</t>
  </si>
  <si>
    <t>Pure PDRN Serum form 10 days use</t>
  </si>
  <si>
    <t>PDRN Pink 10 Days Serum (1.5ml x 10ea)/box</t>
  </si>
  <si>
    <t>SG01</t>
  </si>
  <si>
    <t>Whitening and Spot Fading Skinbooster</t>
  </si>
  <si>
    <t>Contains PDRN, niacinamide, glutathione, vitamin C
3ml/10vials</t>
  </si>
  <si>
    <t>SG02</t>
  </si>
  <si>
    <t>PDRN Skinbooster</t>
  </si>
  <si>
    <t>Contains PDRN &amp; Hyaluronic Acid
5ml/10 vials</t>
  </si>
  <si>
    <t>SG03</t>
  </si>
  <si>
    <t>Collagen Skinbooster</t>
  </si>
  <si>
    <t>Type 1 Collagen Protein
3ml/10vials</t>
  </si>
  <si>
    <t>SG04</t>
  </si>
  <si>
    <t>Pink Hyaluronic Acid Essence</t>
  </si>
  <si>
    <t>Contains PDRN, Hyaluronic Acid, Tranexamic Acid, B12
3ml/10vials</t>
  </si>
  <si>
    <t>NS10</t>
  </si>
  <si>
    <t>0.9% Sodium Chloride Injection</t>
  </si>
  <si>
    <t>10 mL ampoule
0.9% (90 mg per 10 mL)
Sterile, ready-to-use saline solution commonly used for topicals, dilution, and reconstitution.
Priced at ₱275.00/5 ampoules</t>
  </si>
  <si>
    <t>/5 *NEW</t>
  </si>
  <si>
    <t>DHA20</t>
  </si>
  <si>
    <t>Dihexa</t>
  </si>
  <si>
    <t>20mg x 25 tablets / bottle</t>
  </si>
  <si>
    <t>/1 *NEW</t>
  </si>
  <si>
    <t>out
ETA availability 4/30/2026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</si>
</sst>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[$₱]#,##0.00"/>
  </numFmts>
  <fonts count="54" x14ac:knownFonts="1">
    <font>
      <sz val="12"/>
      <color theme="1"/>
      <name val="Aptos Narrow"/>
      <family val="2"/>
      <scheme val="minor"/>
    </font>
    <font>
      <b/>
      <sz val="17"/>
      <color theme="1"/>
      <name val="Calibri"/>
      <family val="2"/>
    </font>
    <font>
      <b/>
      <sz val="23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48"/>
      <color theme="1"/>
      <name val="Calibri"/>
      <family val="2"/>
    </font>
    <font>
      <b/>
      <sz val="16"/>
      <color theme="1"/>
      <name val="Calibri"/>
      <family val="2"/>
    </font>
    <font>
      <b/>
      <sz val="21"/>
      <color theme="1"/>
      <name val="Calibri"/>
      <family val="2"/>
    </font>
    <font>
      <sz val="10"/>
      <name val="Arial"/>
      <family val="2"/>
    </font>
    <font>
      <b/>
      <sz val="28"/>
      <color theme="1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3"/>
      <color rgb="FFFFFFFF"/>
      <name val="Arial"/>
      <family val="2"/>
    </font>
    <font>
      <b/>
      <sz val="11"/>
      <color rgb="FF000000"/>
      <name val="Calibri"/>
      <family val="2"/>
    </font>
    <font>
      <sz val="13"/>
      <color rgb="FFFFFFFF"/>
      <name val="Arial"/>
      <family val="2"/>
    </font>
    <font>
      <sz val="13"/>
      <color theme="1"/>
      <name val="Calibri"/>
      <family val="2"/>
    </font>
    <font>
      <sz val="14"/>
      <color theme="1"/>
      <name val="Calibri"/>
      <family val="2"/>
    </font>
    <font>
      <b/>
      <sz val="11"/>
      <color rgb="FFFF0000"/>
      <name val="Calibri"/>
      <family val="2"/>
    </font>
    <font>
      <b/>
      <sz val="15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color theme="1"/>
      <name val="Calibri"/>
      <family val="2"/>
    </font>
    <font>
      <u/>
      <sz val="14"/>
      <color theme="1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4"/>
      <color theme="1"/>
      <name val="Calibri"/>
      <family val="2"/>
    </font>
    <font>
      <i/>
      <sz val="16"/>
      <color theme="1"/>
      <name val="Calibri"/>
      <family val="2"/>
    </font>
    <font>
      <i/>
      <sz val="13"/>
      <color rgb="FFFFFFFF"/>
      <name val="Arial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Verdana"/>
      <family val="2"/>
    </font>
    <font>
      <sz val="13"/>
      <color rgb="FF000000"/>
      <name val="Calibri"/>
      <family val="2"/>
    </font>
    <font>
      <b/>
      <sz val="16"/>
      <color rgb="FFFFFF00"/>
      <name val="Calibri"/>
      <family val="2"/>
    </font>
    <font>
      <sz val="16"/>
      <color theme="1"/>
      <name val="Aptos Narrow"/>
      <scheme val="minor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sz val="10"/>
      <color rgb="FFFFFFFF"/>
      <name val="Aptos Narrow"/>
      <scheme val="minor"/>
    </font>
    <font>
      <sz val="17"/>
      <color rgb="FFFFFFFF"/>
      <name val="Calibri"/>
      <family val="2"/>
    </font>
    <font>
      <sz val="16"/>
      <color rgb="FFFFFFFF"/>
      <name val="Calibri"/>
      <family val="2"/>
    </font>
    <font>
      <b/>
      <sz val="10"/>
      <color theme="1"/>
      <name val="Aptos Narrow"/>
      <scheme val="minor"/>
    </font>
    <font>
      <b/>
      <sz val="11"/>
      <color rgb="FF674EA7"/>
      <name val="Calibri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9"/>
      <color rgb="FF20124D"/>
      <name val="Calibri"/>
      <family val="2"/>
    </font>
    <font>
      <b/>
      <sz val="19"/>
      <color rgb="FF20124D"/>
      <name val="Calibri"/>
      <family val="2"/>
    </font>
    <font>
      <b/>
      <sz val="10"/>
      <color theme="1"/>
      <name val="Arial"/>
      <family val="2"/>
    </font>
    <font>
      <b/>
      <sz val="12"/>
      <color rgb="FF674EA7"/>
      <name val="Calibri"/>
      <family val="2"/>
    </font>
    <font>
      <b/>
      <sz val="14"/>
      <color rgb="FF674EA7"/>
      <name val="Calibri"/>
      <family val="2"/>
    </font>
    <font>
      <b/>
      <sz val="15"/>
      <color rgb="FF351C75"/>
      <name val="Calibri"/>
      <family val="2"/>
    </font>
    <font>
      <sz val="15"/>
      <color theme="1"/>
      <name val="Calibri"/>
      <family val="2"/>
    </font>
    <font>
      <b/>
      <sz val="8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AECEC"/>
        <bgColor rgb="FFFAECE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000000"/>
      </right>
      <top/>
      <bottom style="thin">
        <color rgb="FF6666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 style="thin">
        <color rgb="FF000000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/>
    <xf numFmtId="0" fontId="3" fillId="2" borderId="2" xfId="0" applyFont="1" applyFill="1" applyBorder="1" applyAlignment="1">
      <alignment horizontal="center"/>
    </xf>
    <xf numFmtId="0" fontId="8" fillId="0" borderId="2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164" fontId="11" fillId="0" borderId="0" xfId="0" applyNumberFormat="1" applyFont="1" applyAlignment="1">
      <alignment horizontal="center"/>
    </xf>
    <xf numFmtId="165" fontId="10" fillId="6" borderId="0" xfId="0" applyNumberFormat="1" applyFont="1" applyFill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3" fillId="0" borderId="0" xfId="0" applyFont="1"/>
    <xf numFmtId="0" fontId="14" fillId="8" borderId="0" xfId="0" applyFont="1" applyFill="1" applyAlignment="1">
      <alignment horizontal="center"/>
    </xf>
    <xf numFmtId="165" fontId="10" fillId="6" borderId="4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12" fillId="9" borderId="0" xfId="0" applyFont="1" applyFill="1" applyAlignment="1">
      <alignment horizontal="center" wrapText="1"/>
    </xf>
    <xf numFmtId="0" fontId="16" fillId="8" borderId="0" xfId="0" applyFont="1" applyFill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165" fontId="17" fillId="6" borderId="4" xfId="0" applyNumberFormat="1" applyFont="1" applyFill="1" applyBorder="1" applyAlignment="1">
      <alignment horizontal="center"/>
    </xf>
    <xf numFmtId="165" fontId="17" fillId="7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6" xfId="0" applyFont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5" fontId="17" fillId="6" borderId="2" xfId="0" applyNumberFormat="1" applyFont="1" applyFill="1" applyBorder="1" applyAlignment="1">
      <alignment horizontal="center"/>
    </xf>
    <xf numFmtId="165" fontId="17" fillId="7" borderId="7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6" borderId="1" xfId="0" applyNumberFormat="1" applyFont="1" applyFill="1" applyBorder="1" applyAlignment="1">
      <alignment horizontal="center"/>
    </xf>
    <xf numFmtId="165" fontId="18" fillId="7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5" fontId="13" fillId="6" borderId="7" xfId="0" applyNumberFormat="1" applyFont="1" applyFill="1" applyBorder="1" applyAlignment="1">
      <alignment horizontal="center"/>
    </xf>
    <xf numFmtId="165" fontId="18" fillId="7" borderId="7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5" fontId="20" fillId="6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5" fontId="20" fillId="7" borderId="7" xfId="0" applyNumberFormat="1" applyFont="1" applyFill="1" applyBorder="1" applyAlignment="1">
      <alignment horizontal="center"/>
    </xf>
    <xf numFmtId="165" fontId="20" fillId="7" borderId="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165" fontId="18" fillId="7" borderId="5" xfId="0" applyNumberFormat="1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165" fontId="18" fillId="7" borderId="11" xfId="0" applyNumberFormat="1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164" fontId="23" fillId="0" borderId="4" xfId="0" applyNumberFormat="1" applyFont="1" applyBorder="1" applyAlignment="1">
      <alignment horizontal="center"/>
    </xf>
    <xf numFmtId="165" fontId="24" fillId="6" borderId="1" xfId="0" applyNumberFormat="1" applyFont="1" applyFill="1" applyBorder="1" applyAlignment="1">
      <alignment horizontal="center"/>
    </xf>
    <xf numFmtId="165" fontId="24" fillId="7" borderId="5" xfId="0" applyNumberFormat="1" applyFont="1" applyFill="1" applyBorder="1" applyAlignment="1">
      <alignment horizontal="center"/>
    </xf>
    <xf numFmtId="164" fontId="23" fillId="0" borderId="2" xfId="0" applyNumberFormat="1" applyFont="1" applyBorder="1" applyAlignment="1">
      <alignment horizontal="center"/>
    </xf>
    <xf numFmtId="165" fontId="24" fillId="7" borderId="7" xfId="0" applyNumberFormat="1" applyFont="1" applyFill="1" applyBorder="1" applyAlignment="1">
      <alignment horizontal="center"/>
    </xf>
    <xf numFmtId="165" fontId="25" fillId="7" borderId="11" xfId="0" applyNumberFormat="1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4" borderId="4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164" fontId="26" fillId="0" borderId="4" xfId="0" applyNumberFormat="1" applyFont="1" applyBorder="1" applyAlignment="1">
      <alignment horizontal="center"/>
    </xf>
    <xf numFmtId="165" fontId="27" fillId="6" borderId="1" xfId="0" applyNumberFormat="1" applyFont="1" applyFill="1" applyBorder="1" applyAlignment="1">
      <alignment horizontal="center"/>
    </xf>
    <xf numFmtId="165" fontId="28" fillId="7" borderId="5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8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7" fillId="0" borderId="0" xfId="0" applyFont="1"/>
    <xf numFmtId="0" fontId="21" fillId="4" borderId="4" xfId="0" applyFont="1" applyFill="1" applyBorder="1" applyAlignment="1">
      <alignment horizontal="center"/>
    </xf>
    <xf numFmtId="164" fontId="22" fillId="0" borderId="4" xfId="0" applyNumberFormat="1" applyFont="1" applyBorder="1" applyAlignment="1">
      <alignment horizontal="center"/>
    </xf>
    <xf numFmtId="165" fontId="32" fillId="6" borderId="1" xfId="0" applyNumberFormat="1" applyFont="1" applyFill="1" applyBorder="1" applyAlignment="1">
      <alignment horizontal="center"/>
    </xf>
    <xf numFmtId="165" fontId="32" fillId="7" borderId="5" xfId="0" applyNumberFormat="1" applyFont="1" applyFill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165" fontId="32" fillId="7" borderId="7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4" borderId="13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5" fontId="18" fillId="7" borderId="15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33" fillId="4" borderId="16" xfId="0" applyFont="1" applyFill="1" applyBorder="1" applyAlignment="1">
      <alignment horizontal="center" wrapText="1"/>
    </xf>
    <xf numFmtId="0" fontId="33" fillId="0" borderId="16" xfId="0" applyFont="1" applyBorder="1" applyAlignment="1">
      <alignment horizontal="center" wrapText="1"/>
    </xf>
    <xf numFmtId="0" fontId="21" fillId="4" borderId="2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164" fontId="11" fillId="10" borderId="10" xfId="0" applyNumberFormat="1" applyFont="1" applyFill="1" applyBorder="1" applyAlignment="1">
      <alignment horizontal="center"/>
    </xf>
    <xf numFmtId="0" fontId="34" fillId="4" borderId="10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5" fontId="4" fillId="7" borderId="11" xfId="0" applyNumberFormat="1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165" fontId="4" fillId="7" borderId="5" xfId="0" applyNumberFormat="1" applyFont="1" applyFill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164" fontId="15" fillId="0" borderId="10" xfId="0" applyNumberFormat="1" applyFont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1" fillId="4" borderId="10" xfId="0" applyFont="1" applyFill="1" applyBorder="1" applyAlignment="1">
      <alignment horizontal="left"/>
    </xf>
    <xf numFmtId="0" fontId="11" fillId="0" borderId="17" xfId="0" applyFont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5" fontId="18" fillId="7" borderId="18" xfId="0" applyNumberFormat="1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35" fillId="11" borderId="22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165" fontId="18" fillId="7" borderId="23" xfId="0" applyNumberFormat="1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/>
    </xf>
    <xf numFmtId="0" fontId="8" fillId="0" borderId="14" xfId="0" applyFont="1" applyBorder="1"/>
    <xf numFmtId="165" fontId="4" fillId="7" borderId="7" xfId="0" applyNumberFormat="1" applyFont="1" applyFill="1" applyBorder="1" applyAlignment="1">
      <alignment horizontal="center"/>
    </xf>
    <xf numFmtId="0" fontId="37" fillId="11" borderId="24" xfId="0" applyFont="1" applyFill="1" applyBorder="1" applyAlignment="1">
      <alignment horizontal="center"/>
    </xf>
    <xf numFmtId="0" fontId="37" fillId="11" borderId="24" xfId="0" applyFont="1" applyFill="1" applyBorder="1" applyAlignment="1">
      <alignment horizontal="center" vertical="center" wrapText="1"/>
    </xf>
    <xf numFmtId="0" fontId="38" fillId="11" borderId="24" xfId="0" applyFont="1" applyFill="1" applyBorder="1" applyAlignment="1">
      <alignment horizontal="center"/>
    </xf>
    <xf numFmtId="0" fontId="39" fillId="11" borderId="24" xfId="0" applyFont="1" applyFill="1" applyBorder="1"/>
    <xf numFmtId="165" fontId="37" fillId="11" borderId="24" xfId="0" applyNumberFormat="1" applyFont="1" applyFill="1" applyBorder="1" applyAlignment="1">
      <alignment horizontal="center"/>
    </xf>
    <xf numFmtId="165" fontId="40" fillId="11" borderId="7" xfId="0" applyNumberFormat="1" applyFont="1" applyFill="1" applyBorder="1" applyAlignment="1">
      <alignment horizontal="center"/>
    </xf>
    <xf numFmtId="0" fontId="41" fillId="11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13" fillId="0" borderId="24" xfId="0" applyFont="1" applyBorder="1" applyAlignment="1">
      <alignment horizontal="center"/>
    </xf>
    <xf numFmtId="0" fontId="11" fillId="4" borderId="24" xfId="0" applyFont="1" applyFill="1" applyBorder="1" applyAlignment="1">
      <alignment horizontal="center" vertical="center" wrapText="1"/>
    </xf>
    <xf numFmtId="164" fontId="11" fillId="0" borderId="24" xfId="0" applyNumberFormat="1" applyFont="1" applyBorder="1" applyAlignment="1">
      <alignment horizontal="center"/>
    </xf>
    <xf numFmtId="165" fontId="13" fillId="6" borderId="24" xfId="0" applyNumberFormat="1" applyFont="1" applyFill="1" applyBorder="1" applyAlignment="1">
      <alignment horizontal="center"/>
    </xf>
    <xf numFmtId="165" fontId="18" fillId="7" borderId="24" xfId="0" applyNumberFormat="1" applyFont="1" applyFill="1" applyBorder="1" applyAlignment="1">
      <alignment horizontal="center"/>
    </xf>
    <xf numFmtId="0" fontId="43" fillId="0" borderId="24" xfId="0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5" fillId="0" borderId="0" xfId="0" applyFont="1"/>
    <xf numFmtId="0" fontId="46" fillId="0" borderId="24" xfId="0" applyFont="1" applyBorder="1" applyAlignment="1">
      <alignment horizontal="center"/>
    </xf>
    <xf numFmtId="0" fontId="47" fillId="0" borderId="24" xfId="0" applyFont="1" applyBorder="1" applyAlignment="1">
      <alignment horizontal="center"/>
    </xf>
    <xf numFmtId="0" fontId="48" fillId="3" borderId="0" xfId="0" applyFont="1" applyFill="1" applyAlignment="1">
      <alignment horizontal="center"/>
    </xf>
    <xf numFmtId="0" fontId="13" fillId="0" borderId="25" xfId="0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43" fillId="0" borderId="24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0" fontId="44" fillId="9" borderId="8" xfId="0" applyFont="1" applyFill="1" applyBorder="1" applyAlignment="1">
      <alignment horizontal="center"/>
    </xf>
    <xf numFmtId="0" fontId="50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1" fillId="2" borderId="27" xfId="0" applyFont="1" applyFill="1" applyBorder="1" applyAlignment="1">
      <alignment horizontal="center"/>
    </xf>
    <xf numFmtId="0" fontId="51" fillId="2" borderId="28" xfId="0" applyFont="1" applyFill="1" applyBorder="1" applyAlignment="1">
      <alignment horizontal="center" vertical="center"/>
    </xf>
    <xf numFmtId="0" fontId="52" fillId="2" borderId="28" xfId="0" applyFont="1" applyFill="1" applyBorder="1" applyAlignment="1">
      <alignment horizontal="center"/>
    </xf>
    <xf numFmtId="164" fontId="52" fillId="0" borderId="28" xfId="0" applyNumberFormat="1" applyFont="1" applyBorder="1" applyAlignment="1">
      <alignment horizontal="center"/>
    </xf>
    <xf numFmtId="165" fontId="52" fillId="7" borderId="29" xfId="0" applyNumberFormat="1" applyFont="1" applyFill="1" applyBorder="1" applyAlignment="1">
      <alignment horizontal="center"/>
    </xf>
    <xf numFmtId="0" fontId="43" fillId="0" borderId="25" xfId="0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center"/>
    </xf>
    <xf numFmtId="165" fontId="13" fillId="6" borderId="25" xfId="0" applyNumberFormat="1" applyFont="1" applyFill="1" applyBorder="1" applyAlignment="1">
      <alignment horizontal="center"/>
    </xf>
    <xf numFmtId="165" fontId="18" fillId="7" borderId="25" xfId="0" applyNumberFormat="1" applyFont="1" applyFill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/>
    </xf>
    <xf numFmtId="164" fontId="13" fillId="0" borderId="31" xfId="0" applyNumberFormat="1" applyFont="1" applyBorder="1" applyAlignment="1">
      <alignment horizontal="center"/>
    </xf>
    <xf numFmtId="165" fontId="13" fillId="6" borderId="31" xfId="0" applyNumberFormat="1" applyFont="1" applyFill="1" applyBorder="1" applyAlignment="1">
      <alignment horizontal="center"/>
    </xf>
    <xf numFmtId="165" fontId="18" fillId="7" borderId="32" xfId="0" applyNumberFormat="1" applyFont="1" applyFill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/>
    </xf>
    <xf numFmtId="164" fontId="13" fillId="0" borderId="35" xfId="0" applyNumberFormat="1" applyFont="1" applyBorder="1" applyAlignment="1">
      <alignment horizontal="center"/>
    </xf>
    <xf numFmtId="0" fontId="13" fillId="0" borderId="35" xfId="0" applyFont="1" applyBorder="1" applyAlignment="1">
      <alignment horizontal="center" wrapText="1"/>
    </xf>
    <xf numFmtId="165" fontId="13" fillId="7" borderId="24" xfId="0" applyNumberFormat="1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165" fontId="10" fillId="2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C315-6BF4-4A47-B0A9-B1A055FBE18E}">
  <dimension ref="A1:Z167"/>
  <sheetViews>
    <sheetView tabSelected="1" topLeftCell="A57" workbookViewId="0">
      <selection activeCell="H4" sqref="H4"/>
    </sheetView>
  </sheetViews>
  <sheetFormatPr baseColWidth="10" defaultRowHeight="16" x14ac:dyDescent="0.2"/>
  <cols>
    <col min="1" max="1" width="17.83203125" customWidth="1"/>
    <col min="2" max="2" width="27.1640625" customWidth="1"/>
    <col min="3" max="3" width="45" customWidth="1"/>
    <col min="5" max="5" width="34.83203125" customWidth="1"/>
    <col min="6" max="6" width="28.83203125" customWidth="1"/>
    <col min="8" max="8" width="22.5" customWidth="1"/>
    <col min="9" max="9" width="22.83203125" customWidth="1"/>
  </cols>
  <sheetData>
    <row r="1" spans="1:26" ht="253.5" customHeight="1" x14ac:dyDescent="0.7">
      <c r="A1" s="1" t="s">
        <v>0</v>
      </c>
      <c r="B1" s="2" t="s">
        <v>1</v>
      </c>
      <c r="C1" s="204" t="s">
        <v>2</v>
      </c>
      <c r="D1" s="3" t="s">
        <v>3</v>
      </c>
      <c r="E1" s="4">
        <v>62</v>
      </c>
      <c r="F1" s="5" t="s">
        <v>4</v>
      </c>
      <c r="G1" s="6"/>
      <c r="H1" s="7"/>
      <c r="I1" s="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8" x14ac:dyDescent="0.35">
      <c r="A2" s="9" t="s">
        <v>5</v>
      </c>
      <c r="B2" s="10"/>
      <c r="C2" s="10"/>
      <c r="D2" s="10"/>
      <c r="E2" s="10"/>
      <c r="F2" s="10"/>
      <c r="G2" s="6"/>
      <c r="H2" s="7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x14ac:dyDescent="0.25">
      <c r="A3" s="11" t="s">
        <v>6</v>
      </c>
      <c r="B3" s="12"/>
      <c r="C3" s="12"/>
      <c r="D3" s="12"/>
      <c r="E3" s="12"/>
      <c r="F3" s="12"/>
      <c r="G3" s="6"/>
      <c r="H3" s="7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0" x14ac:dyDescent="0.45">
      <c r="A4" s="13" t="s">
        <v>7</v>
      </c>
      <c r="B4" s="14" t="s">
        <v>8</v>
      </c>
      <c r="C4" s="14" t="s">
        <v>9</v>
      </c>
      <c r="D4" s="15" t="s">
        <v>10</v>
      </c>
      <c r="E4" s="16" t="s">
        <v>11</v>
      </c>
      <c r="F4" s="205" t="s">
        <v>12</v>
      </c>
      <c r="G4" s="6"/>
      <c r="H4" s="17" t="s">
        <v>13</v>
      </c>
      <c r="I4" s="18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4" x14ac:dyDescent="0.3">
      <c r="A5" s="19"/>
      <c r="B5" s="20"/>
      <c r="C5" s="21"/>
      <c r="D5" s="22"/>
      <c r="E5" s="23"/>
      <c r="F5" s="24"/>
      <c r="G5" s="25"/>
      <c r="H5" s="7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24" x14ac:dyDescent="0.3">
      <c r="A6" s="19"/>
      <c r="B6" s="20"/>
      <c r="C6" s="21"/>
      <c r="D6" s="22"/>
      <c r="E6" s="23"/>
      <c r="F6" s="24"/>
      <c r="G6" s="25"/>
      <c r="H6" s="28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365" x14ac:dyDescent="0.3">
      <c r="A7" s="19" t="s">
        <v>15</v>
      </c>
      <c r="B7" s="20" t="s">
        <v>16</v>
      </c>
      <c r="C7" s="21" t="s">
        <v>17</v>
      </c>
      <c r="D7" s="22">
        <v>10</v>
      </c>
      <c r="E7" s="29">
        <f t="shared" ref="E7:E9" si="0">D7*$E$1</f>
        <v>620</v>
      </c>
      <c r="F7" s="24">
        <f t="shared" ref="F7:F9" si="1">E7/10</f>
        <v>62</v>
      </c>
      <c r="G7" s="25"/>
      <c r="H7" s="28" t="s">
        <v>18</v>
      </c>
      <c r="I7" s="26" t="s">
        <v>19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365" x14ac:dyDescent="0.3">
      <c r="A8" s="19" t="s">
        <v>20</v>
      </c>
      <c r="B8" s="20" t="s">
        <v>21</v>
      </c>
      <c r="C8" s="21" t="s">
        <v>17</v>
      </c>
      <c r="D8" s="22">
        <v>12</v>
      </c>
      <c r="E8" s="29">
        <f t="shared" si="0"/>
        <v>744</v>
      </c>
      <c r="F8" s="24">
        <f t="shared" si="1"/>
        <v>74.400000000000006</v>
      </c>
      <c r="G8" s="25"/>
      <c r="H8" s="28" t="s">
        <v>18</v>
      </c>
      <c r="I8" s="26" t="s">
        <v>19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365" x14ac:dyDescent="0.3">
      <c r="A9" s="19" t="s">
        <v>22</v>
      </c>
      <c r="B9" s="20" t="s">
        <v>21</v>
      </c>
      <c r="C9" s="21" t="s">
        <v>17</v>
      </c>
      <c r="D9" s="22">
        <v>17</v>
      </c>
      <c r="E9" s="29">
        <f t="shared" si="0"/>
        <v>1054</v>
      </c>
      <c r="F9" s="24">
        <f t="shared" si="1"/>
        <v>105.4</v>
      </c>
      <c r="G9" s="25"/>
      <c r="H9" s="28" t="s">
        <v>18</v>
      </c>
      <c r="I9" s="26" t="s">
        <v>19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24" x14ac:dyDescent="0.3">
      <c r="A10" s="19" t="s">
        <v>23</v>
      </c>
      <c r="B10" s="20" t="s">
        <v>24</v>
      </c>
      <c r="C10" s="30" t="s">
        <v>25</v>
      </c>
      <c r="D10" s="22"/>
      <c r="E10" s="23" t="s">
        <v>26</v>
      </c>
      <c r="F10" s="24">
        <v>200</v>
      </c>
      <c r="G10" s="31" t="s">
        <v>27</v>
      </c>
      <c r="H10" s="32" t="s">
        <v>18</v>
      </c>
      <c r="I10" s="26" t="s">
        <v>28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2" x14ac:dyDescent="0.25">
      <c r="A11" s="33" t="s">
        <v>29</v>
      </c>
      <c r="B11" s="34" t="s">
        <v>30</v>
      </c>
      <c r="C11" s="35" t="s">
        <v>31</v>
      </c>
      <c r="D11" s="36">
        <v>7</v>
      </c>
      <c r="E11" s="37">
        <f t="shared" ref="E11:E125" si="2">D11*$E$1</f>
        <v>434</v>
      </c>
      <c r="F11" s="38">
        <f t="shared" ref="F11:F95" si="3">E11/10</f>
        <v>43.4</v>
      </c>
      <c r="G11" s="39" t="s">
        <v>32</v>
      </c>
      <c r="H11" s="32" t="s">
        <v>18</v>
      </c>
      <c r="I11" s="26" t="s">
        <v>33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2" x14ac:dyDescent="0.25">
      <c r="A12" s="40" t="s">
        <v>34</v>
      </c>
      <c r="B12" s="41" t="s">
        <v>35</v>
      </c>
      <c r="C12" s="42" t="s">
        <v>36</v>
      </c>
      <c r="D12" s="43">
        <v>9</v>
      </c>
      <c r="E12" s="44">
        <f t="shared" si="2"/>
        <v>558</v>
      </c>
      <c r="F12" s="45">
        <f t="shared" si="3"/>
        <v>55.8</v>
      </c>
      <c r="G12" s="39" t="s">
        <v>32</v>
      </c>
      <c r="H12" s="32" t="s">
        <v>18</v>
      </c>
      <c r="I12" s="26" t="s">
        <v>28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1" x14ac:dyDescent="0.25">
      <c r="A13" s="46" t="s">
        <v>37</v>
      </c>
      <c r="B13" s="47" t="s">
        <v>38</v>
      </c>
      <c r="C13" s="48" t="s">
        <v>39</v>
      </c>
      <c r="D13" s="49">
        <v>81</v>
      </c>
      <c r="E13" s="50">
        <f t="shared" si="2"/>
        <v>5022</v>
      </c>
      <c r="F13" s="51">
        <f t="shared" si="3"/>
        <v>502.2</v>
      </c>
      <c r="G13" s="25"/>
      <c r="H13" s="32" t="s">
        <v>18</v>
      </c>
      <c r="I13" s="26" t="s">
        <v>40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1" x14ac:dyDescent="0.25">
      <c r="A14" s="46" t="s">
        <v>41</v>
      </c>
      <c r="B14" s="10"/>
      <c r="C14" s="48" t="s">
        <v>42</v>
      </c>
      <c r="D14" s="49">
        <v>83</v>
      </c>
      <c r="E14" s="50">
        <f t="shared" si="2"/>
        <v>5146</v>
      </c>
      <c r="F14" s="51">
        <f t="shared" si="3"/>
        <v>514.6</v>
      </c>
      <c r="G14" s="25"/>
      <c r="H14" s="52" t="s">
        <v>43</v>
      </c>
      <c r="I14" s="26" t="s">
        <v>40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1" x14ac:dyDescent="0.25">
      <c r="A15" s="46" t="s">
        <v>44</v>
      </c>
      <c r="B15" s="10"/>
      <c r="C15" s="48" t="s">
        <v>45</v>
      </c>
      <c r="D15" s="49">
        <v>91</v>
      </c>
      <c r="E15" s="50">
        <f t="shared" si="2"/>
        <v>5642</v>
      </c>
      <c r="F15" s="51">
        <f t="shared" si="3"/>
        <v>564.20000000000005</v>
      </c>
      <c r="G15" s="25"/>
      <c r="H15" s="52" t="s">
        <v>43</v>
      </c>
      <c r="I15" s="26" t="s">
        <v>46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1" x14ac:dyDescent="0.25">
      <c r="A16" s="46" t="s">
        <v>47</v>
      </c>
      <c r="B16" s="10"/>
      <c r="C16" s="48" t="s">
        <v>48</v>
      </c>
      <c r="D16" s="49">
        <v>105</v>
      </c>
      <c r="E16" s="50">
        <f t="shared" si="2"/>
        <v>6510</v>
      </c>
      <c r="F16" s="51">
        <f t="shared" si="3"/>
        <v>651</v>
      </c>
      <c r="G16" s="25"/>
      <c r="H16" s="32" t="s">
        <v>18</v>
      </c>
      <c r="I16" s="26" t="s">
        <v>40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21" x14ac:dyDescent="0.25">
      <c r="A17" s="46" t="s">
        <v>49</v>
      </c>
      <c r="B17" s="10"/>
      <c r="C17" s="48" t="s">
        <v>50</v>
      </c>
      <c r="D17" s="49">
        <v>123</v>
      </c>
      <c r="E17" s="50">
        <f t="shared" si="2"/>
        <v>7626</v>
      </c>
      <c r="F17" s="51">
        <f t="shared" si="3"/>
        <v>762.6</v>
      </c>
      <c r="G17" s="25"/>
      <c r="H17" s="52" t="s">
        <v>43</v>
      </c>
      <c r="I17" s="26" t="s">
        <v>40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21" x14ac:dyDescent="0.25">
      <c r="A18" s="40" t="s">
        <v>51</v>
      </c>
      <c r="B18" s="12"/>
      <c r="C18" s="42" t="s">
        <v>52</v>
      </c>
      <c r="D18" s="43">
        <v>145</v>
      </c>
      <c r="E18" s="53">
        <f t="shared" si="2"/>
        <v>8990</v>
      </c>
      <c r="F18" s="54">
        <f t="shared" si="3"/>
        <v>899</v>
      </c>
      <c r="G18" s="25"/>
      <c r="H18" s="52" t="s">
        <v>43</v>
      </c>
      <c r="I18" s="26" t="s">
        <v>40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1" x14ac:dyDescent="0.25">
      <c r="A19" s="55" t="s">
        <v>53</v>
      </c>
      <c r="B19" s="56" t="s">
        <v>54</v>
      </c>
      <c r="C19" s="57" t="s">
        <v>55</v>
      </c>
      <c r="D19" s="58">
        <v>65</v>
      </c>
      <c r="E19" s="59">
        <f t="shared" si="2"/>
        <v>4030</v>
      </c>
      <c r="F19" s="60">
        <f t="shared" si="3"/>
        <v>403</v>
      </c>
      <c r="G19" s="25"/>
      <c r="H19" s="32" t="s">
        <v>18</v>
      </c>
      <c r="I19" s="26" t="s">
        <v>56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21" x14ac:dyDescent="0.25">
      <c r="A20" s="61" t="s">
        <v>57</v>
      </c>
      <c r="B20" s="10"/>
      <c r="C20" s="19" t="s">
        <v>58</v>
      </c>
      <c r="D20" s="22">
        <v>80</v>
      </c>
      <c r="E20" s="59">
        <f t="shared" si="2"/>
        <v>4960</v>
      </c>
      <c r="F20" s="60">
        <f t="shared" si="3"/>
        <v>496</v>
      </c>
      <c r="G20" s="25"/>
      <c r="H20" s="32" t="s">
        <v>18</v>
      </c>
      <c r="I20" s="26" t="s">
        <v>59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21" customHeight="1" x14ac:dyDescent="0.25">
      <c r="A21" s="61" t="s">
        <v>60</v>
      </c>
      <c r="B21" s="10"/>
      <c r="C21" s="19" t="s">
        <v>61</v>
      </c>
      <c r="D21" s="22">
        <v>107</v>
      </c>
      <c r="E21" s="59">
        <f t="shared" si="2"/>
        <v>6634</v>
      </c>
      <c r="F21" s="60">
        <f t="shared" si="3"/>
        <v>663.4</v>
      </c>
      <c r="G21" s="25"/>
      <c r="H21" s="32" t="s">
        <v>18</v>
      </c>
      <c r="I21" s="26" t="s">
        <v>19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21" x14ac:dyDescent="0.25">
      <c r="A22" s="61" t="s">
        <v>62</v>
      </c>
      <c r="B22" s="10"/>
      <c r="C22" s="19" t="s">
        <v>63</v>
      </c>
      <c r="D22" s="22">
        <v>120</v>
      </c>
      <c r="E22" s="59">
        <f t="shared" si="2"/>
        <v>7440</v>
      </c>
      <c r="F22" s="60">
        <f t="shared" si="3"/>
        <v>744</v>
      </c>
      <c r="G22" s="25"/>
      <c r="H22" s="32" t="s">
        <v>18</v>
      </c>
      <c r="I22" s="26" t="s">
        <v>59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1" x14ac:dyDescent="0.25">
      <c r="A23" s="61" t="s">
        <v>64</v>
      </c>
      <c r="B23" s="10"/>
      <c r="C23" s="19" t="s">
        <v>65</v>
      </c>
      <c r="D23" s="22">
        <v>143</v>
      </c>
      <c r="E23" s="59">
        <f t="shared" si="2"/>
        <v>8866</v>
      </c>
      <c r="F23" s="60">
        <f t="shared" si="3"/>
        <v>886.6</v>
      </c>
      <c r="G23" s="25"/>
      <c r="H23" s="32" t="s">
        <v>18</v>
      </c>
      <c r="I23" s="26" t="s">
        <v>19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21" x14ac:dyDescent="0.25">
      <c r="A24" s="61" t="s">
        <v>66</v>
      </c>
      <c r="B24" s="10"/>
      <c r="C24" s="19" t="s">
        <v>67</v>
      </c>
      <c r="D24" s="22">
        <v>172</v>
      </c>
      <c r="E24" s="59">
        <f t="shared" si="2"/>
        <v>10664</v>
      </c>
      <c r="F24" s="60">
        <f t="shared" si="3"/>
        <v>1066.4000000000001</v>
      </c>
      <c r="G24" s="25"/>
      <c r="H24" s="32" t="s">
        <v>18</v>
      </c>
      <c r="I24" s="26" t="s">
        <v>68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1" x14ac:dyDescent="0.25">
      <c r="A25" s="61" t="s">
        <v>69</v>
      </c>
      <c r="B25" s="10"/>
      <c r="C25" s="19" t="s">
        <v>70</v>
      </c>
      <c r="D25" s="22">
        <v>203</v>
      </c>
      <c r="E25" s="59">
        <f t="shared" si="2"/>
        <v>12586</v>
      </c>
      <c r="F25" s="60">
        <f t="shared" si="3"/>
        <v>1258.5999999999999</v>
      </c>
      <c r="G25" s="25"/>
      <c r="H25" s="32" t="s">
        <v>18</v>
      </c>
      <c r="I25" s="26" t="s">
        <v>59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1" x14ac:dyDescent="0.25">
      <c r="A26" s="62" t="s">
        <v>71</v>
      </c>
      <c r="B26" s="12"/>
      <c r="C26" s="63" t="s">
        <v>72</v>
      </c>
      <c r="D26" s="64">
        <v>243</v>
      </c>
      <c r="E26" s="59">
        <f t="shared" si="2"/>
        <v>15066</v>
      </c>
      <c r="F26" s="65">
        <f t="shared" si="3"/>
        <v>1506.6</v>
      </c>
      <c r="G26" s="25"/>
      <c r="H26" s="32" t="s">
        <v>18</v>
      </c>
      <c r="I26" s="26" t="s">
        <v>68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1" x14ac:dyDescent="0.25">
      <c r="A27" s="55" t="s">
        <v>73</v>
      </c>
      <c r="B27" s="56" t="s">
        <v>74</v>
      </c>
      <c r="C27" s="57" t="s">
        <v>55</v>
      </c>
      <c r="D27" s="58">
        <v>95</v>
      </c>
      <c r="E27" s="59">
        <f t="shared" si="2"/>
        <v>5890</v>
      </c>
      <c r="F27" s="66">
        <f t="shared" si="3"/>
        <v>589</v>
      </c>
      <c r="G27" s="25"/>
      <c r="H27" s="32" t="s">
        <v>18</v>
      </c>
      <c r="I27" s="26" t="s">
        <v>40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1" x14ac:dyDescent="0.25">
      <c r="A28" s="61" t="s">
        <v>75</v>
      </c>
      <c r="B28" s="10"/>
      <c r="C28" s="19" t="s">
        <v>58</v>
      </c>
      <c r="D28" s="22">
        <v>129</v>
      </c>
      <c r="E28" s="59">
        <f t="shared" si="2"/>
        <v>7998</v>
      </c>
      <c r="F28" s="60">
        <f t="shared" si="3"/>
        <v>799.8</v>
      </c>
      <c r="G28" s="25"/>
      <c r="H28" s="32" t="s">
        <v>18</v>
      </c>
      <c r="I28" s="26" t="s">
        <v>59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1" x14ac:dyDescent="0.25">
      <c r="A29" s="61" t="s">
        <v>76</v>
      </c>
      <c r="B29" s="10"/>
      <c r="C29" s="19" t="s">
        <v>61</v>
      </c>
      <c r="D29" s="22">
        <v>159</v>
      </c>
      <c r="E29" s="59">
        <f t="shared" si="2"/>
        <v>9858</v>
      </c>
      <c r="F29" s="60">
        <f t="shared" si="3"/>
        <v>985.8</v>
      </c>
      <c r="G29" s="25"/>
      <c r="H29" s="32" t="s">
        <v>18</v>
      </c>
      <c r="I29" s="26" t="s">
        <v>59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1" x14ac:dyDescent="0.25">
      <c r="A30" s="61" t="s">
        <v>77</v>
      </c>
      <c r="B30" s="10"/>
      <c r="C30" s="19" t="s">
        <v>63</v>
      </c>
      <c r="D30" s="22">
        <v>185</v>
      </c>
      <c r="E30" s="59">
        <f t="shared" si="2"/>
        <v>11470</v>
      </c>
      <c r="F30" s="60">
        <f t="shared" si="3"/>
        <v>1147</v>
      </c>
      <c r="G30" s="25"/>
      <c r="H30" s="32" t="s">
        <v>18</v>
      </c>
      <c r="I30" s="26" t="s">
        <v>19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21" x14ac:dyDescent="0.25">
      <c r="A31" s="62" t="s">
        <v>78</v>
      </c>
      <c r="B31" s="12"/>
      <c r="C31" s="63" t="s">
        <v>65</v>
      </c>
      <c r="D31" s="64">
        <v>230</v>
      </c>
      <c r="E31" s="59">
        <f t="shared" si="2"/>
        <v>14260</v>
      </c>
      <c r="F31" s="65">
        <f t="shared" si="3"/>
        <v>1426</v>
      </c>
      <c r="G31" s="25"/>
      <c r="H31" s="32" t="s">
        <v>18</v>
      </c>
      <c r="I31" s="26" t="s">
        <v>59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21" x14ac:dyDescent="0.25">
      <c r="A32" s="67" t="s">
        <v>79</v>
      </c>
      <c r="B32" s="68" t="s">
        <v>80</v>
      </c>
      <c r="C32" s="69" t="s">
        <v>58</v>
      </c>
      <c r="D32" s="70">
        <v>67</v>
      </c>
      <c r="E32" s="50">
        <f t="shared" si="2"/>
        <v>4154</v>
      </c>
      <c r="F32" s="65">
        <f t="shared" si="3"/>
        <v>415.4</v>
      </c>
      <c r="G32" s="25"/>
      <c r="H32" s="32" t="s">
        <v>18</v>
      </c>
      <c r="I32" s="26" t="s">
        <v>40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21" x14ac:dyDescent="0.25">
      <c r="A33" s="55" t="s">
        <v>81</v>
      </c>
      <c r="B33" s="71" t="s">
        <v>82</v>
      </c>
      <c r="C33" s="57" t="s">
        <v>55</v>
      </c>
      <c r="D33" s="58">
        <v>63</v>
      </c>
      <c r="E33" s="50">
        <f t="shared" si="2"/>
        <v>3906</v>
      </c>
      <c r="F33" s="72">
        <f t="shared" si="3"/>
        <v>390.6</v>
      </c>
      <c r="G33" s="25"/>
      <c r="H33" s="32" t="s">
        <v>18</v>
      </c>
      <c r="I33" s="26" t="s">
        <v>40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21" x14ac:dyDescent="0.25">
      <c r="A34" s="62" t="s">
        <v>83</v>
      </c>
      <c r="B34" s="12"/>
      <c r="C34" s="63" t="s">
        <v>58</v>
      </c>
      <c r="D34" s="64">
        <v>95</v>
      </c>
      <c r="E34" s="50">
        <f t="shared" si="2"/>
        <v>5890</v>
      </c>
      <c r="F34" s="54">
        <f t="shared" si="3"/>
        <v>589</v>
      </c>
      <c r="G34" s="25"/>
      <c r="H34" s="32" t="s">
        <v>18</v>
      </c>
      <c r="I34" s="26" t="s">
        <v>56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21" x14ac:dyDescent="0.25">
      <c r="A35" s="55" t="s">
        <v>84</v>
      </c>
      <c r="B35" s="71" t="s">
        <v>85</v>
      </c>
      <c r="C35" s="57" t="s">
        <v>55</v>
      </c>
      <c r="D35" s="58">
        <v>66</v>
      </c>
      <c r="E35" s="50">
        <f t="shared" si="2"/>
        <v>4092</v>
      </c>
      <c r="F35" s="72">
        <f t="shared" si="3"/>
        <v>409.2</v>
      </c>
      <c r="G35" s="25"/>
      <c r="H35" s="32" t="s">
        <v>18</v>
      </c>
      <c r="I35" s="26" t="s">
        <v>56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21" x14ac:dyDescent="0.25">
      <c r="A36" s="62" t="s">
        <v>86</v>
      </c>
      <c r="B36" s="12"/>
      <c r="C36" s="63" t="s">
        <v>58</v>
      </c>
      <c r="D36" s="64">
        <v>87</v>
      </c>
      <c r="E36" s="50">
        <f t="shared" si="2"/>
        <v>5394</v>
      </c>
      <c r="F36" s="54">
        <f t="shared" si="3"/>
        <v>539.4</v>
      </c>
      <c r="G36" s="25"/>
      <c r="H36" s="32" t="s">
        <v>18</v>
      </c>
      <c r="I36" s="26" t="s">
        <v>59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21" x14ac:dyDescent="0.25">
      <c r="A37" s="55" t="s">
        <v>87</v>
      </c>
      <c r="B37" s="71" t="s">
        <v>88</v>
      </c>
      <c r="C37" s="57" t="s">
        <v>55</v>
      </c>
      <c r="D37" s="58">
        <v>93</v>
      </c>
      <c r="E37" s="50">
        <f t="shared" si="2"/>
        <v>5766</v>
      </c>
      <c r="F37" s="72">
        <f t="shared" si="3"/>
        <v>576.6</v>
      </c>
      <c r="G37" s="25"/>
      <c r="H37" s="32" t="s">
        <v>18</v>
      </c>
      <c r="I37" s="26" t="s">
        <v>40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1" x14ac:dyDescent="0.25">
      <c r="A38" s="62" t="s">
        <v>89</v>
      </c>
      <c r="B38" s="12"/>
      <c r="C38" s="63" t="s">
        <v>58</v>
      </c>
      <c r="D38" s="64">
        <v>158</v>
      </c>
      <c r="E38" s="50">
        <f t="shared" si="2"/>
        <v>9796</v>
      </c>
      <c r="F38" s="54">
        <f t="shared" si="3"/>
        <v>979.6</v>
      </c>
      <c r="G38" s="25"/>
      <c r="H38" s="32" t="s">
        <v>18</v>
      </c>
      <c r="I38" s="26" t="s">
        <v>56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1" x14ac:dyDescent="0.25">
      <c r="A39" s="55" t="s">
        <v>90</v>
      </c>
      <c r="B39" s="73" t="s">
        <v>91</v>
      </c>
      <c r="C39" s="57" t="s">
        <v>58</v>
      </c>
      <c r="D39" s="58">
        <v>124</v>
      </c>
      <c r="E39" s="50">
        <f t="shared" si="2"/>
        <v>7688</v>
      </c>
      <c r="F39" s="72">
        <f t="shared" si="3"/>
        <v>768.8</v>
      </c>
      <c r="G39" s="25"/>
      <c r="H39" s="32" t="s">
        <v>18</v>
      </c>
      <c r="I39" s="26" t="s">
        <v>59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1" x14ac:dyDescent="0.25">
      <c r="A40" s="61" t="s">
        <v>92</v>
      </c>
      <c r="B40" s="74" t="s">
        <v>93</v>
      </c>
      <c r="C40" s="19" t="s">
        <v>63</v>
      </c>
      <c r="D40" s="64">
        <v>224</v>
      </c>
      <c r="E40" s="50">
        <f t="shared" si="2"/>
        <v>13888</v>
      </c>
      <c r="F40" s="54">
        <f t="shared" si="3"/>
        <v>1388.8</v>
      </c>
      <c r="G40" s="25"/>
      <c r="H40" s="32" t="s">
        <v>18</v>
      </c>
      <c r="I40" s="26" t="s">
        <v>56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1" x14ac:dyDescent="0.25">
      <c r="A41" s="57" t="s">
        <v>94</v>
      </c>
      <c r="B41" s="73" t="s">
        <v>95</v>
      </c>
      <c r="C41" s="57" t="s">
        <v>96</v>
      </c>
      <c r="D41" s="64">
        <v>80</v>
      </c>
      <c r="E41" s="50">
        <f t="shared" si="2"/>
        <v>4960</v>
      </c>
      <c r="F41" s="54">
        <f t="shared" si="3"/>
        <v>496</v>
      </c>
      <c r="G41" s="25"/>
      <c r="H41" s="52" t="s">
        <v>43</v>
      </c>
      <c r="I41" s="26" t="s">
        <v>40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1" x14ac:dyDescent="0.25">
      <c r="A42" s="63" t="s">
        <v>97</v>
      </c>
      <c r="B42" s="75" t="s">
        <v>98</v>
      </c>
      <c r="C42" s="63" t="s">
        <v>55</v>
      </c>
      <c r="D42" s="70">
        <v>110</v>
      </c>
      <c r="E42" s="50">
        <f t="shared" si="2"/>
        <v>6820</v>
      </c>
      <c r="F42" s="76">
        <f t="shared" si="3"/>
        <v>682</v>
      </c>
      <c r="G42" s="25"/>
      <c r="H42" s="32" t="s">
        <v>18</v>
      </c>
      <c r="I42" s="26" t="s">
        <v>56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1" x14ac:dyDescent="0.25">
      <c r="A43" s="61" t="s">
        <v>99</v>
      </c>
      <c r="B43" s="74" t="s">
        <v>100</v>
      </c>
      <c r="C43" s="19" t="s">
        <v>101</v>
      </c>
      <c r="D43" s="58">
        <v>110</v>
      </c>
      <c r="E43" s="50">
        <f t="shared" si="2"/>
        <v>6820</v>
      </c>
      <c r="F43" s="72">
        <f t="shared" si="3"/>
        <v>682</v>
      </c>
      <c r="G43" s="25"/>
      <c r="H43" s="32" t="s">
        <v>18</v>
      </c>
      <c r="I43" s="26" t="s">
        <v>40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1" x14ac:dyDescent="0.25">
      <c r="A44" s="62" t="s">
        <v>102</v>
      </c>
      <c r="B44" s="75" t="s">
        <v>100</v>
      </c>
      <c r="C44" s="63" t="s">
        <v>103</v>
      </c>
      <c r="D44" s="64">
        <v>195</v>
      </c>
      <c r="E44" s="50">
        <f t="shared" si="2"/>
        <v>12090</v>
      </c>
      <c r="F44" s="54">
        <f t="shared" si="3"/>
        <v>1209</v>
      </c>
      <c r="G44" s="25"/>
      <c r="H44" s="32" t="s">
        <v>18</v>
      </c>
      <c r="I44" s="26" t="s">
        <v>40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1" x14ac:dyDescent="0.25">
      <c r="A45" s="67" t="s">
        <v>104</v>
      </c>
      <c r="B45" s="77" t="s">
        <v>105</v>
      </c>
      <c r="C45" s="69" t="s">
        <v>58</v>
      </c>
      <c r="D45" s="70">
        <v>87</v>
      </c>
      <c r="E45" s="50">
        <f t="shared" si="2"/>
        <v>5394</v>
      </c>
      <c r="F45" s="76">
        <f t="shared" si="3"/>
        <v>539.4</v>
      </c>
      <c r="G45" s="25"/>
      <c r="H45" s="32" t="s">
        <v>18</v>
      </c>
      <c r="I45" s="26" t="s">
        <v>59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1" x14ac:dyDescent="0.25">
      <c r="A46" s="55" t="s">
        <v>106</v>
      </c>
      <c r="B46" s="73" t="s">
        <v>107</v>
      </c>
      <c r="C46" s="57" t="s">
        <v>55</v>
      </c>
      <c r="D46" s="58">
        <v>66</v>
      </c>
      <c r="E46" s="50">
        <f t="shared" si="2"/>
        <v>4092</v>
      </c>
      <c r="F46" s="54">
        <f t="shared" si="3"/>
        <v>409.2</v>
      </c>
      <c r="G46" s="25"/>
      <c r="H46" s="32" t="s">
        <v>18</v>
      </c>
      <c r="I46" s="26" t="s">
        <v>19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1" x14ac:dyDescent="0.25">
      <c r="A47" s="55" t="s">
        <v>108</v>
      </c>
      <c r="B47" s="78" t="s">
        <v>109</v>
      </c>
      <c r="C47" s="57" t="s">
        <v>55</v>
      </c>
      <c r="D47" s="58">
        <v>64</v>
      </c>
      <c r="E47" s="50">
        <f t="shared" si="2"/>
        <v>3968</v>
      </c>
      <c r="F47" s="72">
        <f t="shared" si="3"/>
        <v>396.8</v>
      </c>
      <c r="G47" s="25"/>
      <c r="H47" s="79" t="s">
        <v>18</v>
      </c>
      <c r="I47" s="26" t="s">
        <v>56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33" customHeight="1" x14ac:dyDescent="0.25">
      <c r="A48" s="62" t="s">
        <v>110</v>
      </c>
      <c r="B48" s="12"/>
      <c r="C48" s="63" t="s">
        <v>58</v>
      </c>
      <c r="D48" s="64">
        <v>90</v>
      </c>
      <c r="E48" s="50">
        <f t="shared" si="2"/>
        <v>5580</v>
      </c>
      <c r="F48" s="54">
        <f t="shared" si="3"/>
        <v>558</v>
      </c>
      <c r="G48" s="25"/>
      <c r="H48" s="10"/>
      <c r="I48" s="26" t="s">
        <v>68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1" x14ac:dyDescent="0.25">
      <c r="A49" s="67" t="s">
        <v>111</v>
      </c>
      <c r="B49" s="68" t="s">
        <v>112</v>
      </c>
      <c r="C49" s="69" t="s">
        <v>96</v>
      </c>
      <c r="D49" s="70">
        <v>60</v>
      </c>
      <c r="E49" s="50">
        <f t="shared" si="2"/>
        <v>3720</v>
      </c>
      <c r="F49" s="76">
        <f t="shared" si="3"/>
        <v>372</v>
      </c>
      <c r="G49" s="25"/>
      <c r="H49" s="32" t="s">
        <v>18</v>
      </c>
      <c r="I49" s="26" t="s">
        <v>59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1" x14ac:dyDescent="0.25">
      <c r="A50" s="55" t="s">
        <v>113</v>
      </c>
      <c r="B50" s="73" t="s">
        <v>114</v>
      </c>
      <c r="C50" s="57" t="s">
        <v>58</v>
      </c>
      <c r="D50" s="58">
        <v>72</v>
      </c>
      <c r="E50" s="50">
        <f t="shared" si="2"/>
        <v>4464</v>
      </c>
      <c r="F50" s="72">
        <f t="shared" si="3"/>
        <v>446.4</v>
      </c>
      <c r="G50" s="25"/>
      <c r="H50" s="32" t="s">
        <v>18</v>
      </c>
      <c r="I50" s="26" t="s">
        <v>59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1" x14ac:dyDescent="0.25">
      <c r="A51" s="62" t="s">
        <v>115</v>
      </c>
      <c r="B51" s="75" t="s">
        <v>116</v>
      </c>
      <c r="C51" s="63" t="s">
        <v>70</v>
      </c>
      <c r="D51" s="64">
        <v>175</v>
      </c>
      <c r="E51" s="50">
        <f t="shared" si="2"/>
        <v>10850</v>
      </c>
      <c r="F51" s="54">
        <f t="shared" si="3"/>
        <v>1085</v>
      </c>
      <c r="G51" s="25"/>
      <c r="H51" s="32" t="s">
        <v>18</v>
      </c>
      <c r="I51" s="26" t="s">
        <v>59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1" x14ac:dyDescent="0.25">
      <c r="A52" s="55" t="s">
        <v>117</v>
      </c>
      <c r="B52" s="73" t="s">
        <v>118</v>
      </c>
      <c r="C52" s="57" t="s">
        <v>96</v>
      </c>
      <c r="D52" s="58">
        <v>105</v>
      </c>
      <c r="E52" s="50">
        <f t="shared" si="2"/>
        <v>6510</v>
      </c>
      <c r="F52" s="72">
        <f t="shared" si="3"/>
        <v>651</v>
      </c>
      <c r="G52" s="25"/>
      <c r="H52" s="32" t="s">
        <v>18</v>
      </c>
      <c r="I52" s="26" t="s">
        <v>40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1" x14ac:dyDescent="0.25">
      <c r="A53" s="62" t="s">
        <v>119</v>
      </c>
      <c r="B53" s="75" t="s">
        <v>118</v>
      </c>
      <c r="C53" s="63" t="s">
        <v>55</v>
      </c>
      <c r="D53" s="64">
        <v>207</v>
      </c>
      <c r="E53" s="50">
        <f t="shared" si="2"/>
        <v>12834</v>
      </c>
      <c r="F53" s="54">
        <f t="shared" si="3"/>
        <v>1283.4000000000001</v>
      </c>
      <c r="G53" s="25"/>
      <c r="H53" s="32" t="s">
        <v>18</v>
      </c>
      <c r="I53" s="26" t="s">
        <v>40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1" x14ac:dyDescent="0.25">
      <c r="A54" s="55" t="s">
        <v>120</v>
      </c>
      <c r="B54" s="73" t="s">
        <v>121</v>
      </c>
      <c r="C54" s="57" t="s">
        <v>55</v>
      </c>
      <c r="D54" s="58">
        <v>55</v>
      </c>
      <c r="E54" s="50">
        <f t="shared" si="2"/>
        <v>3410</v>
      </c>
      <c r="F54" s="72">
        <f t="shared" si="3"/>
        <v>341</v>
      </c>
      <c r="G54" s="25"/>
      <c r="H54" s="32" t="s">
        <v>18</v>
      </c>
      <c r="I54" s="26" t="s">
        <v>59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1" x14ac:dyDescent="0.25">
      <c r="A55" s="62" t="s">
        <v>122</v>
      </c>
      <c r="B55" s="75" t="s">
        <v>123</v>
      </c>
      <c r="C55" s="63" t="s">
        <v>58</v>
      </c>
      <c r="D55" s="64">
        <v>85</v>
      </c>
      <c r="E55" s="50">
        <f t="shared" si="2"/>
        <v>5270</v>
      </c>
      <c r="F55" s="54">
        <f t="shared" si="3"/>
        <v>527</v>
      </c>
      <c r="G55" s="25"/>
      <c r="H55" s="32" t="s">
        <v>18</v>
      </c>
      <c r="I55" s="26" t="s">
        <v>59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1" x14ac:dyDescent="0.25">
      <c r="A56" s="55" t="s">
        <v>124</v>
      </c>
      <c r="B56" s="73" t="s">
        <v>125</v>
      </c>
      <c r="C56" s="57" t="s">
        <v>58</v>
      </c>
      <c r="D56" s="80">
        <v>112</v>
      </c>
      <c r="E56" s="81">
        <f t="shared" si="2"/>
        <v>6944</v>
      </c>
      <c r="F56" s="82">
        <f t="shared" si="3"/>
        <v>694.4</v>
      </c>
      <c r="G56" s="25"/>
      <c r="H56" s="32" t="s">
        <v>18</v>
      </c>
      <c r="I56" s="26" t="s">
        <v>59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1" x14ac:dyDescent="0.25">
      <c r="A57" s="62" t="s">
        <v>126</v>
      </c>
      <c r="B57" s="75" t="s">
        <v>127</v>
      </c>
      <c r="C57" s="63" t="s">
        <v>70</v>
      </c>
      <c r="D57" s="83">
        <v>380</v>
      </c>
      <c r="E57" s="81">
        <f t="shared" si="2"/>
        <v>23560</v>
      </c>
      <c r="F57" s="84">
        <f t="shared" si="3"/>
        <v>2356</v>
      </c>
      <c r="G57" s="25"/>
      <c r="H57" s="32" t="s">
        <v>18</v>
      </c>
      <c r="I57" s="26" t="s">
        <v>59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1" x14ac:dyDescent="0.25">
      <c r="A58" s="67" t="s">
        <v>128</v>
      </c>
      <c r="B58" s="68" t="s">
        <v>129</v>
      </c>
      <c r="C58" s="69" t="s">
        <v>55</v>
      </c>
      <c r="D58" s="70">
        <v>80</v>
      </c>
      <c r="E58" s="50">
        <f t="shared" si="2"/>
        <v>4960</v>
      </c>
      <c r="F58" s="76">
        <f t="shared" si="3"/>
        <v>496</v>
      </c>
      <c r="G58" s="25"/>
      <c r="H58" s="52" t="s">
        <v>43</v>
      </c>
      <c r="I58" s="26" t="s">
        <v>40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1" x14ac:dyDescent="0.25">
      <c r="A59" s="67" t="s">
        <v>130</v>
      </c>
      <c r="B59" s="68" t="s">
        <v>129</v>
      </c>
      <c r="C59" s="69" t="s">
        <v>58</v>
      </c>
      <c r="D59" s="70">
        <v>75</v>
      </c>
      <c r="E59" s="50">
        <f t="shared" si="2"/>
        <v>4650</v>
      </c>
      <c r="F59" s="85">
        <f t="shared" si="3"/>
        <v>465</v>
      </c>
      <c r="G59" s="25"/>
      <c r="H59" s="52" t="s">
        <v>43</v>
      </c>
      <c r="I59" s="26" t="s">
        <v>40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1" x14ac:dyDescent="0.25">
      <c r="A60" s="86" t="s">
        <v>131</v>
      </c>
      <c r="B60" s="87" t="s">
        <v>132</v>
      </c>
      <c r="C60" s="88" t="s">
        <v>55</v>
      </c>
      <c r="D60" s="89">
        <v>98</v>
      </c>
      <c r="E60" s="90">
        <f t="shared" si="2"/>
        <v>6076</v>
      </c>
      <c r="F60" s="91">
        <f t="shared" si="3"/>
        <v>607.6</v>
      </c>
      <c r="G60" s="92"/>
      <c r="H60" s="93" t="s">
        <v>18</v>
      </c>
      <c r="I60" s="94" t="s">
        <v>59</v>
      </c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21" x14ac:dyDescent="0.25">
      <c r="A61" s="61" t="s">
        <v>133</v>
      </c>
      <c r="B61" s="74" t="s">
        <v>132</v>
      </c>
      <c r="C61" s="19" t="s">
        <v>58</v>
      </c>
      <c r="D61" s="22">
        <v>200</v>
      </c>
      <c r="E61" s="50">
        <f t="shared" si="2"/>
        <v>12400</v>
      </c>
      <c r="F61" s="51">
        <f t="shared" si="3"/>
        <v>1240</v>
      </c>
      <c r="G61" s="25"/>
      <c r="H61" s="32" t="s">
        <v>18</v>
      </c>
      <c r="I61" s="26" t="s">
        <v>40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1" x14ac:dyDescent="0.25">
      <c r="A62" s="61" t="s">
        <v>134</v>
      </c>
      <c r="B62" s="74" t="s">
        <v>135</v>
      </c>
      <c r="C62" s="19" t="s">
        <v>55</v>
      </c>
      <c r="D62" s="22">
        <v>190</v>
      </c>
      <c r="E62" s="50">
        <f t="shared" si="2"/>
        <v>11780</v>
      </c>
      <c r="F62" s="51">
        <f t="shared" si="3"/>
        <v>1178</v>
      </c>
      <c r="G62" s="25"/>
      <c r="H62" s="32" t="s">
        <v>18</v>
      </c>
      <c r="I62" s="26" t="s">
        <v>40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1" x14ac:dyDescent="0.25">
      <c r="A63" s="62" t="s">
        <v>136</v>
      </c>
      <c r="B63" s="75" t="s">
        <v>137</v>
      </c>
      <c r="C63" s="63" t="s">
        <v>138</v>
      </c>
      <c r="D63" s="22">
        <v>225</v>
      </c>
      <c r="E63" s="50">
        <f t="shared" si="2"/>
        <v>13950</v>
      </c>
      <c r="F63" s="51">
        <f t="shared" si="3"/>
        <v>1395</v>
      </c>
      <c r="G63" s="25"/>
      <c r="H63" s="32" t="s">
        <v>18</v>
      </c>
      <c r="I63" s="26" t="s">
        <v>59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21" x14ac:dyDescent="0.25">
      <c r="A64" s="55" t="s">
        <v>139</v>
      </c>
      <c r="B64" s="73" t="s">
        <v>140</v>
      </c>
      <c r="C64" s="57" t="s">
        <v>55</v>
      </c>
      <c r="D64" s="58">
        <v>93</v>
      </c>
      <c r="E64" s="50">
        <f t="shared" si="2"/>
        <v>5766</v>
      </c>
      <c r="F64" s="72">
        <f t="shared" si="3"/>
        <v>576.6</v>
      </c>
      <c r="G64" s="25"/>
      <c r="H64" s="52" t="s">
        <v>43</v>
      </c>
      <c r="I64" s="26" t="s">
        <v>40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21" x14ac:dyDescent="0.25">
      <c r="A65" s="62" t="s">
        <v>141</v>
      </c>
      <c r="B65" s="75" t="s">
        <v>140</v>
      </c>
      <c r="C65" s="63" t="s">
        <v>58</v>
      </c>
      <c r="D65" s="64">
        <v>145</v>
      </c>
      <c r="E65" s="50">
        <f t="shared" si="2"/>
        <v>8990</v>
      </c>
      <c r="F65" s="54">
        <f t="shared" si="3"/>
        <v>899</v>
      </c>
      <c r="G65" s="25"/>
      <c r="H65" s="32" t="s">
        <v>18</v>
      </c>
      <c r="I65" s="26" t="s">
        <v>40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21" x14ac:dyDescent="0.25">
      <c r="A66" s="67" t="s">
        <v>142</v>
      </c>
      <c r="B66" s="68" t="s">
        <v>143</v>
      </c>
      <c r="C66" s="69" t="s">
        <v>144</v>
      </c>
      <c r="D66" s="70">
        <v>64</v>
      </c>
      <c r="E66" s="50">
        <f t="shared" si="2"/>
        <v>3968</v>
      </c>
      <c r="F66" s="76">
        <f t="shared" si="3"/>
        <v>396.8</v>
      </c>
      <c r="G66" s="25"/>
      <c r="H66" s="52" t="s">
        <v>43</v>
      </c>
      <c r="I66" s="26" t="s">
        <v>40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21" x14ac:dyDescent="0.25">
      <c r="A67" s="55" t="s">
        <v>145</v>
      </c>
      <c r="B67" s="73" t="s">
        <v>146</v>
      </c>
      <c r="C67" s="57" t="s">
        <v>147</v>
      </c>
      <c r="D67" s="58">
        <v>212</v>
      </c>
      <c r="E67" s="50">
        <f t="shared" si="2"/>
        <v>13144</v>
      </c>
      <c r="F67" s="72">
        <f t="shared" si="3"/>
        <v>1314.4</v>
      </c>
      <c r="G67" s="25"/>
      <c r="H67" s="52" t="s">
        <v>43</v>
      </c>
      <c r="I67" s="26" t="s">
        <v>40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21" x14ac:dyDescent="0.25">
      <c r="A68" s="62" t="s">
        <v>148</v>
      </c>
      <c r="B68" s="75" t="s">
        <v>149</v>
      </c>
      <c r="C68" s="63" t="s">
        <v>96</v>
      </c>
      <c r="D68" s="64">
        <v>80</v>
      </c>
      <c r="E68" s="50">
        <f t="shared" si="2"/>
        <v>4960</v>
      </c>
      <c r="F68" s="54">
        <f t="shared" si="3"/>
        <v>496</v>
      </c>
      <c r="G68" s="25"/>
      <c r="H68" s="52" t="s">
        <v>43</v>
      </c>
      <c r="I68" s="26" t="s">
        <v>40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21" x14ac:dyDescent="0.25">
      <c r="A69" s="55" t="s">
        <v>150</v>
      </c>
      <c r="B69" s="73" t="s">
        <v>151</v>
      </c>
      <c r="C69" s="57" t="s">
        <v>55</v>
      </c>
      <c r="D69" s="58">
        <v>125</v>
      </c>
      <c r="E69" s="50">
        <f t="shared" si="2"/>
        <v>7750</v>
      </c>
      <c r="F69" s="72">
        <f t="shared" si="3"/>
        <v>775</v>
      </c>
      <c r="G69" s="25"/>
      <c r="H69" s="32" t="s">
        <v>18</v>
      </c>
      <c r="I69" s="26" t="s">
        <v>68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21" x14ac:dyDescent="0.25">
      <c r="A70" s="62" t="s">
        <v>152</v>
      </c>
      <c r="B70" s="75" t="s">
        <v>151</v>
      </c>
      <c r="C70" s="63" t="s">
        <v>58</v>
      </c>
      <c r="D70" s="64">
        <v>215</v>
      </c>
      <c r="E70" s="50">
        <f t="shared" si="2"/>
        <v>13330</v>
      </c>
      <c r="F70" s="54">
        <f t="shared" si="3"/>
        <v>1333</v>
      </c>
      <c r="G70" s="25"/>
      <c r="H70" s="32" t="s">
        <v>18</v>
      </c>
      <c r="I70" s="26" t="s">
        <v>153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21" x14ac:dyDescent="0.25">
      <c r="A71" s="67" t="s">
        <v>154</v>
      </c>
      <c r="B71" s="68" t="s">
        <v>155</v>
      </c>
      <c r="C71" s="69" t="s">
        <v>55</v>
      </c>
      <c r="D71" s="70">
        <v>115</v>
      </c>
      <c r="E71" s="50">
        <f t="shared" si="2"/>
        <v>7130</v>
      </c>
      <c r="F71" s="76">
        <f t="shared" si="3"/>
        <v>713</v>
      </c>
      <c r="G71" s="25"/>
      <c r="H71" s="32" t="s">
        <v>18</v>
      </c>
      <c r="I71" s="26" t="s">
        <v>40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21" x14ac:dyDescent="0.25">
      <c r="A72" s="55" t="s">
        <v>156</v>
      </c>
      <c r="B72" s="96" t="s">
        <v>157</v>
      </c>
      <c r="C72" s="57" t="s">
        <v>70</v>
      </c>
      <c r="D72" s="97">
        <v>55</v>
      </c>
      <c r="E72" s="98">
        <f t="shared" si="2"/>
        <v>3410</v>
      </c>
      <c r="F72" s="99">
        <f t="shared" si="3"/>
        <v>341</v>
      </c>
      <c r="G72" s="25"/>
      <c r="H72" s="32" t="s">
        <v>18</v>
      </c>
      <c r="I72" s="26" t="s">
        <v>59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75" customHeight="1" x14ac:dyDescent="0.25">
      <c r="A73" s="62" t="s">
        <v>158</v>
      </c>
      <c r="B73" s="10"/>
      <c r="C73" s="63" t="s">
        <v>159</v>
      </c>
      <c r="D73" s="100">
        <v>65</v>
      </c>
      <c r="E73" s="98">
        <f t="shared" si="2"/>
        <v>4030</v>
      </c>
      <c r="F73" s="101">
        <f t="shared" si="3"/>
        <v>403</v>
      </c>
      <c r="G73" s="25"/>
      <c r="H73" s="32" t="s">
        <v>18</v>
      </c>
      <c r="I73" s="26" t="s">
        <v>19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32" x14ac:dyDescent="0.25">
      <c r="A74" s="102" t="s">
        <v>160</v>
      </c>
      <c r="B74" s="103" t="s">
        <v>161</v>
      </c>
      <c r="C74" s="104" t="s">
        <v>70</v>
      </c>
      <c r="D74" s="105">
        <v>70</v>
      </c>
      <c r="E74" s="50">
        <f t="shared" si="2"/>
        <v>4340</v>
      </c>
      <c r="F74" s="106">
        <f t="shared" si="3"/>
        <v>434</v>
      </c>
      <c r="G74" s="39" t="s">
        <v>32</v>
      </c>
      <c r="H74" s="32" t="s">
        <v>18</v>
      </c>
      <c r="I74" s="26" t="s">
        <v>59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33" thickBot="1" x14ac:dyDescent="0.3">
      <c r="A75" s="102" t="s">
        <v>162</v>
      </c>
      <c r="B75" s="103" t="s">
        <v>163</v>
      </c>
      <c r="C75" s="104" t="s">
        <v>159</v>
      </c>
      <c r="D75" s="105">
        <v>150</v>
      </c>
      <c r="E75" s="50">
        <f t="shared" si="2"/>
        <v>9300</v>
      </c>
      <c r="F75" s="106">
        <f t="shared" si="3"/>
        <v>930</v>
      </c>
      <c r="G75" s="107" t="s">
        <v>164</v>
      </c>
      <c r="H75" s="32" t="s">
        <v>18</v>
      </c>
      <c r="I75" s="26" t="s">
        <v>56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45" thickBot="1" x14ac:dyDescent="0.3">
      <c r="A76" s="62" t="s">
        <v>165</v>
      </c>
      <c r="B76" s="108" t="s">
        <v>166</v>
      </c>
      <c r="C76" s="109" t="s">
        <v>55</v>
      </c>
      <c r="D76" s="105">
        <v>85</v>
      </c>
      <c r="E76" s="50">
        <f t="shared" si="2"/>
        <v>5270</v>
      </c>
      <c r="F76" s="54">
        <f t="shared" si="3"/>
        <v>527</v>
      </c>
      <c r="G76" s="25"/>
      <c r="H76" s="32" t="s">
        <v>18</v>
      </c>
      <c r="I76" s="26" t="s">
        <v>153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21" x14ac:dyDescent="0.25">
      <c r="A77" s="62" t="s">
        <v>167</v>
      </c>
      <c r="B77" s="75" t="s">
        <v>168</v>
      </c>
      <c r="C77" s="63" t="s">
        <v>58</v>
      </c>
      <c r="D77" s="105">
        <v>150</v>
      </c>
      <c r="E77" s="50">
        <f t="shared" si="2"/>
        <v>9300</v>
      </c>
      <c r="F77" s="54">
        <f t="shared" si="3"/>
        <v>930</v>
      </c>
      <c r="G77" s="25"/>
      <c r="H77" s="32" t="s">
        <v>18</v>
      </c>
      <c r="I77" s="26" t="s">
        <v>56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1" x14ac:dyDescent="0.25">
      <c r="A78" s="67" t="s">
        <v>169</v>
      </c>
      <c r="B78" s="68" t="s">
        <v>170</v>
      </c>
      <c r="C78" s="69" t="s">
        <v>58</v>
      </c>
      <c r="D78" s="70">
        <v>80</v>
      </c>
      <c r="E78" s="50">
        <f t="shared" si="2"/>
        <v>4960</v>
      </c>
      <c r="F78" s="76">
        <f t="shared" si="3"/>
        <v>496</v>
      </c>
      <c r="G78" s="25"/>
      <c r="H78" s="32" t="s">
        <v>18</v>
      </c>
      <c r="I78" s="26" t="s">
        <v>40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21" x14ac:dyDescent="0.25">
      <c r="A79" s="55" t="s">
        <v>171</v>
      </c>
      <c r="B79" s="73" t="s">
        <v>172</v>
      </c>
      <c r="C79" s="57" t="s">
        <v>55</v>
      </c>
      <c r="D79" s="58">
        <v>115</v>
      </c>
      <c r="E79" s="50">
        <f t="shared" si="2"/>
        <v>7130</v>
      </c>
      <c r="F79" s="72">
        <f t="shared" si="3"/>
        <v>713</v>
      </c>
      <c r="G79" s="25"/>
      <c r="H79" s="32" t="s">
        <v>18</v>
      </c>
      <c r="I79" s="26" t="s">
        <v>19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1" x14ac:dyDescent="0.25">
      <c r="A80" s="62" t="s">
        <v>173</v>
      </c>
      <c r="B80" s="110" t="s">
        <v>174</v>
      </c>
      <c r="C80" s="63" t="s">
        <v>58</v>
      </c>
      <c r="D80" s="64">
        <v>195</v>
      </c>
      <c r="E80" s="50">
        <f t="shared" si="2"/>
        <v>12090</v>
      </c>
      <c r="F80" s="54">
        <f t="shared" si="3"/>
        <v>1209</v>
      </c>
      <c r="G80" s="25"/>
      <c r="H80" s="28" t="s">
        <v>18</v>
      </c>
      <c r="I80" s="26" t="s">
        <v>59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1" x14ac:dyDescent="0.25">
      <c r="A81" s="55" t="s">
        <v>175</v>
      </c>
      <c r="B81" s="73" t="s">
        <v>176</v>
      </c>
      <c r="C81" s="57" t="s">
        <v>58</v>
      </c>
      <c r="D81" s="58">
        <v>85</v>
      </c>
      <c r="E81" s="50">
        <f t="shared" si="2"/>
        <v>5270</v>
      </c>
      <c r="F81" s="72">
        <f t="shared" si="3"/>
        <v>527</v>
      </c>
      <c r="G81" s="25"/>
      <c r="H81" s="28" t="s">
        <v>18</v>
      </c>
      <c r="I81" s="26" t="s">
        <v>59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1" x14ac:dyDescent="0.25">
      <c r="A82" s="62" t="s">
        <v>177</v>
      </c>
      <c r="B82" s="75" t="s">
        <v>176</v>
      </c>
      <c r="C82" s="63" t="s">
        <v>67</v>
      </c>
      <c r="D82" s="64">
        <v>230</v>
      </c>
      <c r="E82" s="50">
        <f t="shared" si="2"/>
        <v>14260</v>
      </c>
      <c r="F82" s="54">
        <f t="shared" si="3"/>
        <v>1426</v>
      </c>
      <c r="G82" s="25"/>
      <c r="H82" s="52" t="s">
        <v>43</v>
      </c>
      <c r="I82" s="26" t="s">
        <v>56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1" x14ac:dyDescent="0.25">
      <c r="A83" s="67">
        <v>3710</v>
      </c>
      <c r="B83" s="68" t="s">
        <v>178</v>
      </c>
      <c r="C83" s="69" t="s">
        <v>55</v>
      </c>
      <c r="D83" s="70">
        <v>100</v>
      </c>
      <c r="E83" s="50">
        <f t="shared" si="2"/>
        <v>6200</v>
      </c>
      <c r="F83" s="76">
        <f t="shared" si="3"/>
        <v>620</v>
      </c>
      <c r="G83" s="25"/>
      <c r="H83" s="28" t="s">
        <v>18</v>
      </c>
      <c r="I83" s="26" t="s">
        <v>179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1" x14ac:dyDescent="0.25">
      <c r="A84" s="111" t="s">
        <v>180</v>
      </c>
      <c r="B84" s="112" t="s">
        <v>181</v>
      </c>
      <c r="C84" s="112" t="s">
        <v>55</v>
      </c>
      <c r="D84" s="113">
        <v>75</v>
      </c>
      <c r="E84" s="50">
        <f t="shared" si="2"/>
        <v>4650</v>
      </c>
      <c r="F84" s="76">
        <f t="shared" si="3"/>
        <v>465</v>
      </c>
      <c r="G84" s="25"/>
      <c r="H84" s="52" t="s">
        <v>43</v>
      </c>
      <c r="I84" s="26" t="s">
        <v>40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1" x14ac:dyDescent="0.25">
      <c r="A85" s="67" t="s">
        <v>182</v>
      </c>
      <c r="B85" s="68" t="s">
        <v>183</v>
      </c>
      <c r="C85" s="69" t="s">
        <v>55</v>
      </c>
      <c r="D85" s="70">
        <v>80</v>
      </c>
      <c r="E85" s="50">
        <f t="shared" si="2"/>
        <v>4960</v>
      </c>
      <c r="F85" s="76">
        <f t="shared" si="3"/>
        <v>496</v>
      </c>
      <c r="G85" s="25"/>
      <c r="H85" s="28" t="s">
        <v>18</v>
      </c>
      <c r="I85" s="26" t="s">
        <v>40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1" x14ac:dyDescent="0.25">
      <c r="A86" s="67" t="s">
        <v>184</v>
      </c>
      <c r="B86" s="68" t="s">
        <v>185</v>
      </c>
      <c r="C86" s="69" t="s">
        <v>55</v>
      </c>
      <c r="D86" s="70">
        <v>124</v>
      </c>
      <c r="E86" s="50">
        <f t="shared" si="2"/>
        <v>7688</v>
      </c>
      <c r="F86" s="76">
        <f t="shared" si="3"/>
        <v>768.8</v>
      </c>
      <c r="G86" s="25"/>
      <c r="H86" s="52" t="s">
        <v>43</v>
      </c>
      <c r="I86" s="26" t="s">
        <v>40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1" x14ac:dyDescent="0.25">
      <c r="A87" s="67" t="s">
        <v>186</v>
      </c>
      <c r="B87" s="114" t="s">
        <v>187</v>
      </c>
      <c r="C87" s="69" t="s">
        <v>188</v>
      </c>
      <c r="D87" s="70">
        <v>95</v>
      </c>
      <c r="E87" s="50">
        <f t="shared" si="2"/>
        <v>5890</v>
      </c>
      <c r="F87" s="76">
        <f t="shared" si="3"/>
        <v>589</v>
      </c>
      <c r="G87" s="25"/>
      <c r="H87" s="28" t="s">
        <v>18</v>
      </c>
      <c r="I87" s="26" t="s">
        <v>59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1" x14ac:dyDescent="0.25">
      <c r="A88" s="115" t="s">
        <v>189</v>
      </c>
      <c r="B88" s="116" t="s">
        <v>190</v>
      </c>
      <c r="C88" s="117" t="s">
        <v>191</v>
      </c>
      <c r="D88" s="118">
        <v>196</v>
      </c>
      <c r="E88" s="119">
        <f t="shared" si="2"/>
        <v>12152</v>
      </c>
      <c r="F88" s="120">
        <f t="shared" si="3"/>
        <v>1215.2</v>
      </c>
      <c r="G88" s="6"/>
      <c r="H88" s="28" t="s">
        <v>18</v>
      </c>
      <c r="I88" s="26" t="s">
        <v>153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1" x14ac:dyDescent="0.25">
      <c r="A89" s="121" t="s">
        <v>192</v>
      </c>
      <c r="B89" s="122" t="s">
        <v>193</v>
      </c>
      <c r="C89" s="123" t="s">
        <v>159</v>
      </c>
      <c r="D89" s="80">
        <v>60</v>
      </c>
      <c r="E89" s="119">
        <f t="shared" si="2"/>
        <v>3720</v>
      </c>
      <c r="F89" s="120">
        <f t="shared" si="3"/>
        <v>372</v>
      </c>
      <c r="G89" s="6"/>
      <c r="H89" s="28" t="s">
        <v>18</v>
      </c>
      <c r="I89" s="26" t="s">
        <v>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1" x14ac:dyDescent="0.25">
      <c r="A90" s="62" t="s">
        <v>194</v>
      </c>
      <c r="B90" s="110" t="s">
        <v>195</v>
      </c>
      <c r="C90" s="63" t="s">
        <v>196</v>
      </c>
      <c r="D90" s="83">
        <v>100</v>
      </c>
      <c r="E90" s="119">
        <f t="shared" si="2"/>
        <v>6200</v>
      </c>
      <c r="F90" s="124">
        <f t="shared" si="3"/>
        <v>620</v>
      </c>
      <c r="G90" s="25"/>
      <c r="H90" s="52" t="s">
        <v>43</v>
      </c>
      <c r="I90" s="26" t="s">
        <v>19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1" x14ac:dyDescent="0.25">
      <c r="A91" s="67" t="s">
        <v>197</v>
      </c>
      <c r="B91" s="68" t="s">
        <v>198</v>
      </c>
      <c r="C91" s="69" t="s">
        <v>199</v>
      </c>
      <c r="D91" s="70">
        <v>92</v>
      </c>
      <c r="E91" s="50">
        <f t="shared" si="2"/>
        <v>5704</v>
      </c>
      <c r="F91" s="76">
        <f t="shared" si="3"/>
        <v>570.4</v>
      </c>
      <c r="G91" s="25"/>
      <c r="H91" s="28" t="s">
        <v>18</v>
      </c>
      <c r="I91" s="26" t="s">
        <v>19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1" x14ac:dyDescent="0.25">
      <c r="A92" s="67" t="s">
        <v>200</v>
      </c>
      <c r="B92" s="68" t="s">
        <v>198</v>
      </c>
      <c r="C92" s="69" t="s">
        <v>201</v>
      </c>
      <c r="D92" s="70">
        <v>125</v>
      </c>
      <c r="E92" s="50">
        <f t="shared" si="2"/>
        <v>7750</v>
      </c>
      <c r="F92" s="76">
        <f t="shared" si="3"/>
        <v>775</v>
      </c>
      <c r="G92" s="25"/>
      <c r="H92" s="28" t="s">
        <v>18</v>
      </c>
      <c r="I92" s="26" t="s">
        <v>56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1" x14ac:dyDescent="0.25">
      <c r="A93" s="125" t="s">
        <v>202</v>
      </c>
      <c r="B93" s="126" t="s">
        <v>198</v>
      </c>
      <c r="C93" s="127" t="s">
        <v>203</v>
      </c>
      <c r="D93" s="128">
        <v>160</v>
      </c>
      <c r="E93" s="119">
        <f t="shared" si="2"/>
        <v>9920</v>
      </c>
      <c r="F93" s="120">
        <f t="shared" si="3"/>
        <v>992</v>
      </c>
      <c r="G93" s="6"/>
      <c r="H93" s="52" t="s">
        <v>43</v>
      </c>
      <c r="I93" s="26" t="s">
        <v>56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1" x14ac:dyDescent="0.25">
      <c r="A94" s="67" t="s">
        <v>204</v>
      </c>
      <c r="B94" s="68" t="s">
        <v>205</v>
      </c>
      <c r="C94" s="69" t="s">
        <v>206</v>
      </c>
      <c r="D94" s="70">
        <v>90</v>
      </c>
      <c r="E94" s="50">
        <f t="shared" si="2"/>
        <v>5580</v>
      </c>
      <c r="F94" s="76">
        <f t="shared" si="3"/>
        <v>558</v>
      </c>
      <c r="G94" s="25"/>
      <c r="H94" s="28" t="s">
        <v>18</v>
      </c>
      <c r="I94" s="26" t="s">
        <v>40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1" x14ac:dyDescent="0.25">
      <c r="A95" s="67" t="s">
        <v>207</v>
      </c>
      <c r="B95" s="68" t="s">
        <v>208</v>
      </c>
      <c r="C95" s="69" t="s">
        <v>209</v>
      </c>
      <c r="D95" s="70">
        <v>140</v>
      </c>
      <c r="E95" s="50">
        <f t="shared" si="2"/>
        <v>8680</v>
      </c>
      <c r="F95" s="76">
        <f t="shared" si="3"/>
        <v>868</v>
      </c>
      <c r="G95" s="25"/>
      <c r="H95" s="28" t="s">
        <v>18</v>
      </c>
      <c r="I95" s="26" t="s">
        <v>40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1" x14ac:dyDescent="0.25">
      <c r="A96" s="67" t="s">
        <v>210</v>
      </c>
      <c r="B96" s="68" t="s">
        <v>211</v>
      </c>
      <c r="C96" s="69" t="s">
        <v>212</v>
      </c>
      <c r="D96" s="70">
        <v>67</v>
      </c>
      <c r="E96" s="50">
        <f t="shared" si="2"/>
        <v>4154</v>
      </c>
      <c r="F96" s="76">
        <f>E96/6</f>
        <v>692.33333333333337</v>
      </c>
      <c r="G96" s="129" t="s">
        <v>213</v>
      </c>
      <c r="H96" s="28" t="s">
        <v>18</v>
      </c>
      <c r="I96" s="26" t="s">
        <v>56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21" x14ac:dyDescent="0.25">
      <c r="A97" s="67" t="s">
        <v>214</v>
      </c>
      <c r="B97" s="68" t="s">
        <v>215</v>
      </c>
      <c r="C97" s="69" t="s">
        <v>216</v>
      </c>
      <c r="D97" s="70">
        <v>15</v>
      </c>
      <c r="E97" s="50">
        <f t="shared" si="2"/>
        <v>930</v>
      </c>
      <c r="F97" s="76">
        <f>E97/1</f>
        <v>930</v>
      </c>
      <c r="G97" s="129" t="s">
        <v>27</v>
      </c>
      <c r="H97" s="28" t="s">
        <v>18</v>
      </c>
      <c r="I97" s="26" t="s">
        <v>56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1" x14ac:dyDescent="0.25">
      <c r="A98" s="67" t="s">
        <v>217</v>
      </c>
      <c r="B98" s="68" t="s">
        <v>218</v>
      </c>
      <c r="C98" s="69" t="s">
        <v>55</v>
      </c>
      <c r="D98" s="70">
        <v>142</v>
      </c>
      <c r="E98" s="50">
        <f t="shared" si="2"/>
        <v>8804</v>
      </c>
      <c r="F98" s="76">
        <f t="shared" ref="F98:F118" si="4">E98/10</f>
        <v>880.4</v>
      </c>
      <c r="G98" s="25"/>
      <c r="H98" s="28" t="s">
        <v>18</v>
      </c>
      <c r="I98" s="26" t="s">
        <v>59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1" x14ac:dyDescent="0.25">
      <c r="A99" s="67" t="s">
        <v>219</v>
      </c>
      <c r="B99" s="68" t="s">
        <v>218</v>
      </c>
      <c r="C99" s="69" t="s">
        <v>58</v>
      </c>
      <c r="D99" s="70">
        <v>206</v>
      </c>
      <c r="E99" s="50">
        <f t="shared" si="2"/>
        <v>12772</v>
      </c>
      <c r="F99" s="76">
        <f t="shared" si="4"/>
        <v>1277.2</v>
      </c>
      <c r="G99" s="25"/>
      <c r="H99" s="28" t="s">
        <v>18</v>
      </c>
      <c r="I99" s="26" t="s">
        <v>59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1" x14ac:dyDescent="0.25">
      <c r="A100" s="67" t="s">
        <v>220</v>
      </c>
      <c r="B100" s="68" t="s">
        <v>221</v>
      </c>
      <c r="C100" s="69" t="s">
        <v>58</v>
      </c>
      <c r="D100" s="70">
        <v>80</v>
      </c>
      <c r="E100" s="50">
        <f t="shared" si="2"/>
        <v>4960</v>
      </c>
      <c r="F100" s="76">
        <f t="shared" si="4"/>
        <v>496</v>
      </c>
      <c r="G100" s="25"/>
      <c r="H100" s="52" t="s">
        <v>43</v>
      </c>
      <c r="I100" s="26" t="s">
        <v>153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1" x14ac:dyDescent="0.25">
      <c r="A101" s="67" t="s">
        <v>222</v>
      </c>
      <c r="B101" s="68" t="s">
        <v>223</v>
      </c>
      <c r="C101" s="69" t="s">
        <v>58</v>
      </c>
      <c r="D101" s="70">
        <v>69</v>
      </c>
      <c r="E101" s="50">
        <f t="shared" si="2"/>
        <v>4278</v>
      </c>
      <c r="F101" s="76">
        <f t="shared" si="4"/>
        <v>427.8</v>
      </c>
      <c r="G101" s="25"/>
      <c r="H101" s="52" t="s">
        <v>43</v>
      </c>
      <c r="I101" s="26" t="s">
        <v>19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1" x14ac:dyDescent="0.25">
      <c r="A102" s="55" t="s">
        <v>224</v>
      </c>
      <c r="B102" s="73" t="s">
        <v>225</v>
      </c>
      <c r="C102" s="57" t="s">
        <v>58</v>
      </c>
      <c r="D102" s="58">
        <v>245</v>
      </c>
      <c r="E102" s="50">
        <f t="shared" si="2"/>
        <v>15190</v>
      </c>
      <c r="F102" s="72">
        <f t="shared" si="4"/>
        <v>1519</v>
      </c>
      <c r="G102" s="25"/>
      <c r="H102" s="28" t="s">
        <v>18</v>
      </c>
      <c r="I102" s="26" t="s">
        <v>40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1" x14ac:dyDescent="0.25">
      <c r="A103" s="55" t="s">
        <v>226</v>
      </c>
      <c r="B103" s="73" t="s">
        <v>227</v>
      </c>
      <c r="C103" s="57" t="s">
        <v>55</v>
      </c>
      <c r="D103" s="58">
        <v>70</v>
      </c>
      <c r="E103" s="50">
        <f t="shared" si="2"/>
        <v>4340</v>
      </c>
      <c r="F103" s="72">
        <f t="shared" si="4"/>
        <v>434</v>
      </c>
      <c r="G103" s="25"/>
      <c r="H103" s="28" t="s">
        <v>18</v>
      </c>
      <c r="I103" s="26" t="s">
        <v>56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1" x14ac:dyDescent="0.25">
      <c r="A104" s="62" t="s">
        <v>228</v>
      </c>
      <c r="B104" s="75" t="s">
        <v>227</v>
      </c>
      <c r="C104" s="57" t="s">
        <v>58</v>
      </c>
      <c r="D104" s="64">
        <v>90</v>
      </c>
      <c r="E104" s="50">
        <f t="shared" si="2"/>
        <v>5580</v>
      </c>
      <c r="F104" s="54">
        <f t="shared" si="4"/>
        <v>558</v>
      </c>
      <c r="G104" s="25"/>
      <c r="H104" s="28" t="s">
        <v>18</v>
      </c>
      <c r="I104" s="26" t="s">
        <v>59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1" x14ac:dyDescent="0.25">
      <c r="A105" s="67" t="s">
        <v>229</v>
      </c>
      <c r="B105" s="68" t="s">
        <v>230</v>
      </c>
      <c r="C105" s="69" t="s">
        <v>231</v>
      </c>
      <c r="D105" s="70">
        <v>105</v>
      </c>
      <c r="E105" s="50">
        <f t="shared" si="2"/>
        <v>6510</v>
      </c>
      <c r="F105" s="76">
        <f t="shared" si="4"/>
        <v>651</v>
      </c>
      <c r="G105" s="25"/>
      <c r="H105" s="28" t="s">
        <v>18</v>
      </c>
      <c r="I105" s="26" t="s">
        <v>153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1" x14ac:dyDescent="0.25">
      <c r="A106" s="67" t="s">
        <v>232</v>
      </c>
      <c r="B106" s="130" t="s">
        <v>233</v>
      </c>
      <c r="C106" s="69" t="s">
        <v>231</v>
      </c>
      <c r="D106" s="70">
        <v>105</v>
      </c>
      <c r="E106" s="50">
        <f t="shared" si="2"/>
        <v>6510</v>
      </c>
      <c r="F106" s="76">
        <f t="shared" si="4"/>
        <v>651</v>
      </c>
      <c r="G106" s="25"/>
      <c r="H106" s="28" t="s">
        <v>18</v>
      </c>
      <c r="I106" s="26" t="s">
        <v>19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1" x14ac:dyDescent="0.25">
      <c r="A107" s="67" t="s">
        <v>234</v>
      </c>
      <c r="B107" s="68" t="s">
        <v>235</v>
      </c>
      <c r="C107" s="69" t="s">
        <v>231</v>
      </c>
      <c r="D107" s="70">
        <v>117</v>
      </c>
      <c r="E107" s="50">
        <f t="shared" si="2"/>
        <v>7254</v>
      </c>
      <c r="F107" s="76">
        <f t="shared" si="4"/>
        <v>725.4</v>
      </c>
      <c r="G107" s="25"/>
      <c r="H107" s="28" t="s">
        <v>18</v>
      </c>
      <c r="I107" s="26" t="s">
        <v>56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1" x14ac:dyDescent="0.25">
      <c r="A108" s="55" t="s">
        <v>236</v>
      </c>
      <c r="B108" s="73" t="s">
        <v>237</v>
      </c>
      <c r="C108" s="57" t="s">
        <v>58</v>
      </c>
      <c r="D108" s="58">
        <v>355</v>
      </c>
      <c r="E108" s="50">
        <f t="shared" si="2"/>
        <v>22010</v>
      </c>
      <c r="F108" s="72">
        <f t="shared" si="4"/>
        <v>2201</v>
      </c>
      <c r="G108" s="25"/>
      <c r="H108" s="28" t="s">
        <v>18</v>
      </c>
      <c r="I108" s="26" t="s">
        <v>40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1" x14ac:dyDescent="0.25">
      <c r="A109" s="131" t="s">
        <v>238</v>
      </c>
      <c r="B109" s="132" t="s">
        <v>239</v>
      </c>
      <c r="C109" s="133" t="s">
        <v>55</v>
      </c>
      <c r="D109" s="134">
        <v>145</v>
      </c>
      <c r="E109" s="50">
        <f t="shared" si="2"/>
        <v>8990</v>
      </c>
      <c r="F109" s="135">
        <f t="shared" si="4"/>
        <v>899</v>
      </c>
      <c r="G109" s="25"/>
      <c r="H109" s="28" t="s">
        <v>18</v>
      </c>
      <c r="I109" s="26" t="s">
        <v>40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1" x14ac:dyDescent="0.25">
      <c r="A110" s="102" t="s">
        <v>240</v>
      </c>
      <c r="B110" s="136" t="s">
        <v>239</v>
      </c>
      <c r="C110" s="104" t="s">
        <v>58</v>
      </c>
      <c r="D110" s="105">
        <v>240</v>
      </c>
      <c r="E110" s="50">
        <f t="shared" si="2"/>
        <v>14880</v>
      </c>
      <c r="F110" s="106">
        <f t="shared" si="4"/>
        <v>1488</v>
      </c>
      <c r="G110" s="25"/>
      <c r="H110" s="28" t="s">
        <v>18</v>
      </c>
      <c r="I110" s="26" t="s">
        <v>56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1" x14ac:dyDescent="0.25">
      <c r="A111" s="131" t="s">
        <v>241</v>
      </c>
      <c r="B111" s="132" t="s">
        <v>242</v>
      </c>
      <c r="C111" s="133" t="s">
        <v>243</v>
      </c>
      <c r="D111" s="134">
        <v>220</v>
      </c>
      <c r="E111" s="50">
        <f t="shared" si="2"/>
        <v>13640</v>
      </c>
      <c r="F111" s="135">
        <f t="shared" si="4"/>
        <v>1364</v>
      </c>
      <c r="G111" s="25"/>
      <c r="H111" s="28" t="s">
        <v>18</v>
      </c>
      <c r="I111" s="26" t="s">
        <v>19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1" x14ac:dyDescent="0.25">
      <c r="A112" s="102" t="s">
        <v>244</v>
      </c>
      <c r="B112" s="136" t="s">
        <v>245</v>
      </c>
      <c r="C112" s="104" t="s">
        <v>246</v>
      </c>
      <c r="D112" s="105">
        <v>280</v>
      </c>
      <c r="E112" s="50">
        <f t="shared" si="2"/>
        <v>17360</v>
      </c>
      <c r="F112" s="106">
        <f t="shared" si="4"/>
        <v>1736</v>
      </c>
      <c r="G112" s="25"/>
      <c r="H112" s="28" t="s">
        <v>18</v>
      </c>
      <c r="I112" s="26" t="s">
        <v>19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1" x14ac:dyDescent="0.25">
      <c r="A113" s="131" t="s">
        <v>247</v>
      </c>
      <c r="B113" s="132" t="s">
        <v>248</v>
      </c>
      <c r="C113" s="133" t="s">
        <v>55</v>
      </c>
      <c r="D113" s="134">
        <v>124</v>
      </c>
      <c r="E113" s="50">
        <f t="shared" si="2"/>
        <v>7688</v>
      </c>
      <c r="F113" s="135">
        <f t="shared" si="4"/>
        <v>768.8</v>
      </c>
      <c r="G113" s="25"/>
      <c r="H113" s="52" t="s">
        <v>43</v>
      </c>
      <c r="I113" s="26" t="s">
        <v>40</v>
      </c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1" x14ac:dyDescent="0.25">
      <c r="A114" s="102" t="s">
        <v>249</v>
      </c>
      <c r="B114" s="136" t="s">
        <v>248</v>
      </c>
      <c r="C114" s="104" t="s">
        <v>58</v>
      </c>
      <c r="D114" s="105">
        <v>200</v>
      </c>
      <c r="E114" s="50">
        <f t="shared" si="2"/>
        <v>12400</v>
      </c>
      <c r="F114" s="106">
        <f t="shared" si="4"/>
        <v>1240</v>
      </c>
      <c r="G114" s="25"/>
      <c r="H114" s="52" t="s">
        <v>43</v>
      </c>
      <c r="I114" s="26" t="s">
        <v>40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1" x14ac:dyDescent="0.25">
      <c r="A115" s="137" t="s">
        <v>250</v>
      </c>
      <c r="B115" s="74" t="s">
        <v>251</v>
      </c>
      <c r="C115" s="19" t="s">
        <v>58</v>
      </c>
      <c r="D115" s="22">
        <v>93</v>
      </c>
      <c r="E115" s="50">
        <f t="shared" si="2"/>
        <v>5766</v>
      </c>
      <c r="F115" s="51">
        <f t="shared" si="4"/>
        <v>576.6</v>
      </c>
      <c r="G115" s="107"/>
      <c r="H115" s="28" t="s">
        <v>18</v>
      </c>
      <c r="I115" s="26" t="s">
        <v>40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1" x14ac:dyDescent="0.25">
      <c r="A116" s="102" t="s">
        <v>252</v>
      </c>
      <c r="B116" s="136" t="s">
        <v>251</v>
      </c>
      <c r="C116" s="104" t="s">
        <v>63</v>
      </c>
      <c r="D116" s="105">
        <v>122</v>
      </c>
      <c r="E116" s="50">
        <f t="shared" si="2"/>
        <v>7564</v>
      </c>
      <c r="F116" s="106">
        <f t="shared" si="4"/>
        <v>756.4</v>
      </c>
      <c r="G116" s="107"/>
      <c r="H116" s="28" t="s">
        <v>18</v>
      </c>
      <c r="I116" s="26" t="s">
        <v>40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1" x14ac:dyDescent="0.25">
      <c r="A117" s="131" t="s">
        <v>253</v>
      </c>
      <c r="B117" s="132" t="s">
        <v>254</v>
      </c>
      <c r="C117" s="133" t="s">
        <v>255</v>
      </c>
      <c r="D117" s="134">
        <v>80</v>
      </c>
      <c r="E117" s="50">
        <f t="shared" si="2"/>
        <v>4960</v>
      </c>
      <c r="F117" s="135">
        <f t="shared" si="4"/>
        <v>496</v>
      </c>
      <c r="G117" s="107"/>
      <c r="H117" s="28" t="s">
        <v>18</v>
      </c>
      <c r="I117" s="26" t="s">
        <v>40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1" x14ac:dyDescent="0.25">
      <c r="A118" s="102" t="s">
        <v>256</v>
      </c>
      <c r="B118" s="136" t="s">
        <v>257</v>
      </c>
      <c r="C118" s="104" t="s">
        <v>258</v>
      </c>
      <c r="D118" s="105">
        <v>100</v>
      </c>
      <c r="E118" s="50">
        <f t="shared" si="2"/>
        <v>6200</v>
      </c>
      <c r="F118" s="106">
        <f t="shared" si="4"/>
        <v>620</v>
      </c>
      <c r="G118" s="107"/>
      <c r="H118" s="28" t="s">
        <v>18</v>
      </c>
      <c r="I118" s="26" t="s">
        <v>40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44" x14ac:dyDescent="0.3">
      <c r="A119" s="138" t="s">
        <v>259</v>
      </c>
      <c r="B119" s="139" t="s">
        <v>260</v>
      </c>
      <c r="C119" s="140" t="s">
        <v>261</v>
      </c>
      <c r="D119" s="141">
        <v>114</v>
      </c>
      <c r="E119" s="50">
        <f t="shared" si="2"/>
        <v>7068</v>
      </c>
      <c r="F119" s="142" t="s">
        <v>262</v>
      </c>
      <c r="G119" s="143"/>
      <c r="H119" s="52" t="s">
        <v>43</v>
      </c>
      <c r="I119" s="26" t="s">
        <v>40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1" x14ac:dyDescent="0.25">
      <c r="A120" s="138" t="s">
        <v>263</v>
      </c>
      <c r="B120" s="139" t="s">
        <v>263</v>
      </c>
      <c r="C120" s="140" t="s">
        <v>58</v>
      </c>
      <c r="D120" s="141">
        <v>95</v>
      </c>
      <c r="E120" s="50">
        <f t="shared" si="2"/>
        <v>5890</v>
      </c>
      <c r="F120" s="144">
        <f t="shared" ref="F120:F125" si="5">E120/10</f>
        <v>589</v>
      </c>
      <c r="G120" s="107"/>
      <c r="H120" s="52" t="s">
        <v>43</v>
      </c>
      <c r="I120" s="26" t="s">
        <v>19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1" x14ac:dyDescent="0.25">
      <c r="A121" s="131" t="s">
        <v>264</v>
      </c>
      <c r="B121" s="132" t="s">
        <v>265</v>
      </c>
      <c r="C121" s="133" t="s">
        <v>55</v>
      </c>
      <c r="D121" s="134">
        <v>110</v>
      </c>
      <c r="E121" s="50">
        <f t="shared" si="2"/>
        <v>6820</v>
      </c>
      <c r="F121" s="135">
        <f t="shared" si="5"/>
        <v>682</v>
      </c>
      <c r="G121" s="107"/>
      <c r="H121" s="28" t="s">
        <v>18</v>
      </c>
      <c r="I121" s="26" t="s">
        <v>56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1" x14ac:dyDescent="0.25">
      <c r="A122" s="102" t="s">
        <v>266</v>
      </c>
      <c r="B122" s="136" t="s">
        <v>265</v>
      </c>
      <c r="C122" s="104" t="s">
        <v>58</v>
      </c>
      <c r="D122" s="105">
        <v>175</v>
      </c>
      <c r="E122" s="50">
        <f t="shared" si="2"/>
        <v>10850</v>
      </c>
      <c r="F122" s="106">
        <f t="shared" si="5"/>
        <v>1085</v>
      </c>
      <c r="G122" s="107"/>
      <c r="H122" s="28" t="s">
        <v>18</v>
      </c>
      <c r="I122" s="26" t="s">
        <v>40</v>
      </c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1" x14ac:dyDescent="0.25">
      <c r="A123" s="137">
        <v>322</v>
      </c>
      <c r="B123" s="74" t="s">
        <v>267</v>
      </c>
      <c r="C123" s="19" t="s">
        <v>55</v>
      </c>
      <c r="D123" s="22">
        <v>160</v>
      </c>
      <c r="E123" s="50">
        <f t="shared" si="2"/>
        <v>9920</v>
      </c>
      <c r="F123" s="51">
        <f t="shared" si="5"/>
        <v>992</v>
      </c>
      <c r="G123" s="107"/>
      <c r="H123" s="28" t="s">
        <v>18</v>
      </c>
      <c r="I123" s="26" t="s">
        <v>153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1" x14ac:dyDescent="0.25">
      <c r="A124" s="131" t="s">
        <v>268</v>
      </c>
      <c r="B124" s="145" t="s">
        <v>269</v>
      </c>
      <c r="C124" s="133" t="s">
        <v>270</v>
      </c>
      <c r="D124" s="58">
        <v>8</v>
      </c>
      <c r="E124" s="146">
        <f t="shared" si="2"/>
        <v>496</v>
      </c>
      <c r="F124" s="124">
        <f t="shared" si="5"/>
        <v>49.6</v>
      </c>
      <c r="G124" s="107"/>
      <c r="H124" s="52" t="s">
        <v>43</v>
      </c>
      <c r="I124" s="26" t="s">
        <v>59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1" x14ac:dyDescent="0.25">
      <c r="A125" s="137" t="s">
        <v>271</v>
      </c>
      <c r="B125" s="147"/>
      <c r="C125" s="19" t="s">
        <v>231</v>
      </c>
      <c r="D125" s="64">
        <v>10</v>
      </c>
      <c r="E125" s="146">
        <f t="shared" si="2"/>
        <v>620</v>
      </c>
      <c r="F125" s="148">
        <f t="shared" si="5"/>
        <v>62</v>
      </c>
      <c r="G125" s="107"/>
      <c r="H125" s="28" t="s">
        <v>18</v>
      </c>
      <c r="I125" s="26" t="s">
        <v>153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32" x14ac:dyDescent="0.3">
      <c r="A126" s="149" t="s">
        <v>272</v>
      </c>
      <c r="B126" s="150" t="s">
        <v>273</v>
      </c>
      <c r="C126" s="151" t="s">
        <v>274</v>
      </c>
      <c r="D126" s="152"/>
      <c r="E126" s="153">
        <v>3950</v>
      </c>
      <c r="F126" s="154" t="s">
        <v>275</v>
      </c>
      <c r="G126" s="155"/>
      <c r="I126" s="156"/>
    </row>
    <row r="127" spans="1:26" ht="409.6" x14ac:dyDescent="0.3">
      <c r="A127" s="157" t="s">
        <v>276</v>
      </c>
      <c r="B127" s="158" t="s">
        <v>277</v>
      </c>
      <c r="C127" s="157" t="s">
        <v>278</v>
      </c>
      <c r="D127" s="159">
        <v>280</v>
      </c>
      <c r="E127" s="160">
        <f t="shared" ref="E127:E152" si="6">D127*$E$1</f>
        <v>17360</v>
      </c>
      <c r="F127" s="161">
        <f t="shared" ref="F127:F152" si="7">E127/10</f>
        <v>1736</v>
      </c>
      <c r="G127" s="143"/>
      <c r="H127" s="28" t="s">
        <v>18</v>
      </c>
      <c r="I127" s="26" t="s">
        <v>19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335" x14ac:dyDescent="0.25">
      <c r="A128" s="157" t="s">
        <v>279</v>
      </c>
      <c r="B128" s="158" t="s">
        <v>280</v>
      </c>
      <c r="C128" s="157" t="s">
        <v>281</v>
      </c>
      <c r="D128" s="159">
        <v>217</v>
      </c>
      <c r="E128" s="160">
        <f t="shared" si="6"/>
        <v>13454</v>
      </c>
      <c r="F128" s="161">
        <f t="shared" si="7"/>
        <v>1345.4</v>
      </c>
      <c r="G128" s="25" t="s">
        <v>164</v>
      </c>
      <c r="H128" s="28" t="s">
        <v>18</v>
      </c>
      <c r="I128" s="26" t="s">
        <v>19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409.6" x14ac:dyDescent="0.25">
      <c r="A129" s="157" t="s">
        <v>282</v>
      </c>
      <c r="B129" s="158" t="s">
        <v>283</v>
      </c>
      <c r="C129" s="157" t="s">
        <v>284</v>
      </c>
      <c r="D129" s="159">
        <v>159</v>
      </c>
      <c r="E129" s="160">
        <f t="shared" si="6"/>
        <v>9858</v>
      </c>
      <c r="F129" s="161">
        <f t="shared" si="7"/>
        <v>985.8</v>
      </c>
      <c r="G129" s="25" t="s">
        <v>164</v>
      </c>
      <c r="H129" s="28" t="s">
        <v>18</v>
      </c>
      <c r="I129" s="26" t="s">
        <v>56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1" x14ac:dyDescent="0.25">
      <c r="A130" s="157" t="s">
        <v>285</v>
      </c>
      <c r="B130" s="162" t="s">
        <v>286</v>
      </c>
      <c r="C130" s="157" t="s">
        <v>287</v>
      </c>
      <c r="D130" s="159">
        <v>187</v>
      </c>
      <c r="E130" s="160">
        <f t="shared" si="6"/>
        <v>11594</v>
      </c>
      <c r="F130" s="161">
        <f t="shared" si="7"/>
        <v>1159.4000000000001</v>
      </c>
      <c r="G130" s="107"/>
      <c r="H130" s="28" t="s">
        <v>18</v>
      </c>
      <c r="I130" s="26" t="s">
        <v>40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1" x14ac:dyDescent="0.25">
      <c r="A131" s="157" t="s">
        <v>288</v>
      </c>
      <c r="B131" s="162" t="s">
        <v>289</v>
      </c>
      <c r="C131" s="157" t="s">
        <v>290</v>
      </c>
      <c r="D131" s="163">
        <v>182</v>
      </c>
      <c r="E131" s="160">
        <f t="shared" si="6"/>
        <v>11284</v>
      </c>
      <c r="F131" s="161">
        <f t="shared" si="7"/>
        <v>1128.4000000000001</v>
      </c>
      <c r="G131" s="164"/>
      <c r="H131" s="28" t="s">
        <v>18</v>
      </c>
      <c r="I131" s="26" t="s">
        <v>40</v>
      </c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spans="1:26" ht="21" x14ac:dyDescent="0.25">
      <c r="A132" s="157" t="s">
        <v>291</v>
      </c>
      <c r="B132" s="162" t="s">
        <v>292</v>
      </c>
      <c r="C132" s="157" t="s">
        <v>293</v>
      </c>
      <c r="D132" s="163">
        <v>243</v>
      </c>
      <c r="E132" s="160">
        <f t="shared" si="6"/>
        <v>15066</v>
      </c>
      <c r="F132" s="161">
        <f t="shared" si="7"/>
        <v>1506.6</v>
      </c>
      <c r="G132" s="164"/>
      <c r="H132" s="28" t="s">
        <v>18</v>
      </c>
      <c r="I132" s="26" t="s">
        <v>40</v>
      </c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spans="1:26" ht="21" x14ac:dyDescent="0.25">
      <c r="A133" s="157" t="s">
        <v>294</v>
      </c>
      <c r="B133" s="162" t="s">
        <v>295</v>
      </c>
      <c r="C133" s="157" t="s">
        <v>296</v>
      </c>
      <c r="D133" s="163">
        <v>130</v>
      </c>
      <c r="E133" s="160">
        <f t="shared" si="6"/>
        <v>8060</v>
      </c>
      <c r="F133" s="161">
        <f t="shared" si="7"/>
        <v>806</v>
      </c>
      <c r="G133" s="164"/>
      <c r="H133" s="28" t="s">
        <v>18</v>
      </c>
      <c r="I133" s="26" t="s">
        <v>40</v>
      </c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spans="1:26" ht="21" x14ac:dyDescent="0.25">
      <c r="A134" s="157" t="s">
        <v>297</v>
      </c>
      <c r="B134" s="162" t="s">
        <v>298</v>
      </c>
      <c r="C134" s="157" t="s">
        <v>296</v>
      </c>
      <c r="D134" s="163">
        <v>260</v>
      </c>
      <c r="E134" s="160">
        <f t="shared" si="6"/>
        <v>16120</v>
      </c>
      <c r="F134" s="161">
        <f t="shared" si="7"/>
        <v>1612</v>
      </c>
      <c r="G134" s="164"/>
      <c r="H134" s="28" t="s">
        <v>18</v>
      </c>
      <c r="I134" s="26" t="s">
        <v>40</v>
      </c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spans="1:26" ht="21" x14ac:dyDescent="0.25">
      <c r="A135" s="157" t="s">
        <v>299</v>
      </c>
      <c r="B135" s="162" t="s">
        <v>300</v>
      </c>
      <c r="C135" s="157" t="s">
        <v>296</v>
      </c>
      <c r="D135" s="163">
        <v>275</v>
      </c>
      <c r="E135" s="160">
        <f t="shared" si="6"/>
        <v>17050</v>
      </c>
      <c r="F135" s="161">
        <f t="shared" si="7"/>
        <v>1705</v>
      </c>
      <c r="G135" s="164"/>
      <c r="H135" s="28" t="s">
        <v>18</v>
      </c>
      <c r="I135" s="26" t="s">
        <v>40</v>
      </c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spans="1:26" ht="21" x14ac:dyDescent="0.25">
      <c r="A136" s="157" t="s">
        <v>301</v>
      </c>
      <c r="B136" s="162" t="s">
        <v>302</v>
      </c>
      <c r="C136" s="157" t="s">
        <v>287</v>
      </c>
      <c r="D136" s="163">
        <v>183</v>
      </c>
      <c r="E136" s="160">
        <f t="shared" si="6"/>
        <v>11346</v>
      </c>
      <c r="F136" s="161">
        <f t="shared" si="7"/>
        <v>1134.5999999999999</v>
      </c>
      <c r="G136" s="164"/>
      <c r="H136" s="28" t="s">
        <v>18</v>
      </c>
      <c r="I136" s="26" t="s">
        <v>40</v>
      </c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spans="1:26" ht="21" x14ac:dyDescent="0.25">
      <c r="A137" s="157" t="s">
        <v>303</v>
      </c>
      <c r="B137" s="162" t="s">
        <v>304</v>
      </c>
      <c r="C137" s="157" t="s">
        <v>287</v>
      </c>
      <c r="D137" s="163">
        <v>183</v>
      </c>
      <c r="E137" s="160">
        <f t="shared" si="6"/>
        <v>11346</v>
      </c>
      <c r="F137" s="161">
        <f t="shared" si="7"/>
        <v>1134.5999999999999</v>
      </c>
      <c r="G137" s="164"/>
      <c r="H137" s="28" t="s">
        <v>18</v>
      </c>
      <c r="I137" s="26" t="s">
        <v>40</v>
      </c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spans="1:26" ht="21" x14ac:dyDescent="0.25">
      <c r="A138" s="157" t="s">
        <v>305</v>
      </c>
      <c r="B138" s="162" t="s">
        <v>306</v>
      </c>
      <c r="C138" s="157" t="s">
        <v>287</v>
      </c>
      <c r="D138" s="163">
        <v>183</v>
      </c>
      <c r="E138" s="160">
        <f t="shared" si="6"/>
        <v>11346</v>
      </c>
      <c r="F138" s="161">
        <f t="shared" si="7"/>
        <v>1134.5999999999999</v>
      </c>
      <c r="G138" s="164"/>
      <c r="H138" s="28" t="s">
        <v>18</v>
      </c>
      <c r="I138" s="26" t="s">
        <v>40</v>
      </c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spans="1:26" ht="21" x14ac:dyDescent="0.25">
      <c r="A139" s="157" t="s">
        <v>307</v>
      </c>
      <c r="B139" s="162" t="s">
        <v>308</v>
      </c>
      <c r="C139" s="157" t="s">
        <v>287</v>
      </c>
      <c r="D139" s="163">
        <v>183</v>
      </c>
      <c r="E139" s="160">
        <f t="shared" si="6"/>
        <v>11346</v>
      </c>
      <c r="F139" s="161">
        <f t="shared" si="7"/>
        <v>1134.5999999999999</v>
      </c>
      <c r="G139" s="164"/>
      <c r="H139" s="52" t="s">
        <v>43</v>
      </c>
      <c r="I139" s="26" t="s">
        <v>40</v>
      </c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spans="1:26" ht="21" x14ac:dyDescent="0.25">
      <c r="A140" s="157" t="s">
        <v>309</v>
      </c>
      <c r="B140" s="162" t="s">
        <v>310</v>
      </c>
      <c r="C140" s="157" t="s">
        <v>287</v>
      </c>
      <c r="D140" s="163">
        <v>183</v>
      </c>
      <c r="E140" s="160">
        <f t="shared" si="6"/>
        <v>11346</v>
      </c>
      <c r="F140" s="161">
        <f t="shared" si="7"/>
        <v>1134.5999999999999</v>
      </c>
      <c r="G140" s="164"/>
      <c r="H140" s="52" t="s">
        <v>43</v>
      </c>
      <c r="I140" s="26" t="s">
        <v>40</v>
      </c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spans="1:26" ht="21" x14ac:dyDescent="0.25">
      <c r="A141" s="157" t="s">
        <v>311</v>
      </c>
      <c r="B141" s="162" t="s">
        <v>312</v>
      </c>
      <c r="C141" s="157" t="s">
        <v>287</v>
      </c>
      <c r="D141" s="163">
        <v>183</v>
      </c>
      <c r="E141" s="160">
        <f t="shared" si="6"/>
        <v>11346</v>
      </c>
      <c r="F141" s="161">
        <f t="shared" si="7"/>
        <v>1134.5999999999999</v>
      </c>
      <c r="G141" s="164"/>
      <c r="H141" s="52" t="s">
        <v>43</v>
      </c>
      <c r="I141" s="26" t="s">
        <v>40</v>
      </c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spans="1:26" ht="21" x14ac:dyDescent="0.25">
      <c r="A142" s="157" t="s">
        <v>313</v>
      </c>
      <c r="B142" s="162" t="s">
        <v>314</v>
      </c>
      <c r="C142" s="157" t="s">
        <v>287</v>
      </c>
      <c r="D142" s="163">
        <v>183</v>
      </c>
      <c r="E142" s="160">
        <f t="shared" si="6"/>
        <v>11346</v>
      </c>
      <c r="F142" s="161">
        <f t="shared" si="7"/>
        <v>1134.5999999999999</v>
      </c>
      <c r="G142" s="164"/>
      <c r="H142" s="32" t="s">
        <v>18</v>
      </c>
      <c r="I142" s="26" t="s">
        <v>40</v>
      </c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spans="1:26" ht="21" x14ac:dyDescent="0.25">
      <c r="A143" s="157" t="s">
        <v>315</v>
      </c>
      <c r="B143" s="162" t="s">
        <v>316</v>
      </c>
      <c r="C143" s="157" t="s">
        <v>287</v>
      </c>
      <c r="D143" s="163">
        <v>183</v>
      </c>
      <c r="E143" s="160">
        <f t="shared" si="6"/>
        <v>11346</v>
      </c>
      <c r="F143" s="161">
        <f t="shared" si="7"/>
        <v>1134.5999999999999</v>
      </c>
      <c r="G143" s="164"/>
      <c r="H143" s="52" t="s">
        <v>43</v>
      </c>
      <c r="I143" s="26" t="s">
        <v>40</v>
      </c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spans="1:26" ht="21" x14ac:dyDescent="0.25">
      <c r="A144" s="157" t="s">
        <v>317</v>
      </c>
      <c r="B144" s="162" t="s">
        <v>318</v>
      </c>
      <c r="C144" s="157" t="s">
        <v>287</v>
      </c>
      <c r="D144" s="163">
        <v>183</v>
      </c>
      <c r="E144" s="160">
        <f t="shared" si="6"/>
        <v>11346</v>
      </c>
      <c r="F144" s="161">
        <f t="shared" si="7"/>
        <v>1134.5999999999999</v>
      </c>
      <c r="G144" s="164"/>
      <c r="H144" s="52" t="s">
        <v>43</v>
      </c>
      <c r="I144" s="26" t="s">
        <v>40</v>
      </c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spans="1:26" ht="21" x14ac:dyDescent="0.25">
      <c r="A145" s="157" t="s">
        <v>319</v>
      </c>
      <c r="B145" s="162" t="s">
        <v>320</v>
      </c>
      <c r="C145" s="157" t="s">
        <v>287</v>
      </c>
      <c r="D145" s="163">
        <v>183</v>
      </c>
      <c r="E145" s="160">
        <f t="shared" si="6"/>
        <v>11346</v>
      </c>
      <c r="F145" s="161">
        <f t="shared" si="7"/>
        <v>1134.5999999999999</v>
      </c>
      <c r="G145" s="164"/>
      <c r="H145" s="52" t="s">
        <v>43</v>
      </c>
      <c r="I145" s="26" t="s">
        <v>40</v>
      </c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spans="1:26" ht="21" x14ac:dyDescent="0.25">
      <c r="A146" s="157" t="s">
        <v>321</v>
      </c>
      <c r="B146" s="162" t="s">
        <v>322</v>
      </c>
      <c r="C146" s="157" t="s">
        <v>287</v>
      </c>
      <c r="D146" s="163">
        <v>183</v>
      </c>
      <c r="E146" s="160">
        <f t="shared" si="6"/>
        <v>11346</v>
      </c>
      <c r="F146" s="161">
        <f t="shared" si="7"/>
        <v>1134.5999999999999</v>
      </c>
      <c r="G146" s="164"/>
      <c r="H146" s="28" t="s">
        <v>18</v>
      </c>
      <c r="I146" s="26" t="s">
        <v>40</v>
      </c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spans="1:26" ht="25" x14ac:dyDescent="0.3">
      <c r="A147" s="166" t="s">
        <v>323</v>
      </c>
      <c r="B147" s="167" t="s">
        <v>324</v>
      </c>
      <c r="C147" s="157" t="s">
        <v>287</v>
      </c>
      <c r="D147" s="163">
        <v>150</v>
      </c>
      <c r="E147" s="160">
        <f t="shared" si="6"/>
        <v>9300</v>
      </c>
      <c r="F147" s="161">
        <f t="shared" si="7"/>
        <v>930</v>
      </c>
      <c r="G147" s="164" t="s">
        <v>164</v>
      </c>
      <c r="H147" s="28" t="s">
        <v>18</v>
      </c>
      <c r="I147" s="168" t="s">
        <v>56</v>
      </c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spans="1:26" ht="21" x14ac:dyDescent="0.25">
      <c r="A148" s="169" t="s">
        <v>325</v>
      </c>
      <c r="B148" s="170" t="s">
        <v>326</v>
      </c>
      <c r="C148" s="157" t="s">
        <v>293</v>
      </c>
      <c r="D148" s="49">
        <v>135</v>
      </c>
      <c r="E148" s="160">
        <f t="shared" si="6"/>
        <v>8370</v>
      </c>
      <c r="F148" s="161">
        <f t="shared" si="7"/>
        <v>837</v>
      </c>
      <c r="G148" s="164"/>
      <c r="H148" s="52" t="s">
        <v>43</v>
      </c>
      <c r="I148" s="26" t="s">
        <v>40</v>
      </c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spans="1:26" ht="21" x14ac:dyDescent="0.25">
      <c r="A149" s="171" t="s">
        <v>327</v>
      </c>
      <c r="B149" s="10"/>
      <c r="C149" s="157" t="s">
        <v>296</v>
      </c>
      <c r="D149" s="49">
        <v>251</v>
      </c>
      <c r="E149" s="160">
        <f t="shared" si="6"/>
        <v>15562</v>
      </c>
      <c r="F149" s="161">
        <f t="shared" si="7"/>
        <v>1556.2</v>
      </c>
      <c r="G149" s="164"/>
      <c r="H149" s="52" t="s">
        <v>43</v>
      </c>
      <c r="I149" s="26" t="s">
        <v>40</v>
      </c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spans="1:26" ht="21" x14ac:dyDescent="0.25">
      <c r="A150" s="172" t="s">
        <v>328</v>
      </c>
      <c r="B150" s="10"/>
      <c r="C150" s="157" t="s">
        <v>329</v>
      </c>
      <c r="D150" s="49">
        <v>295</v>
      </c>
      <c r="E150" s="160">
        <f t="shared" si="6"/>
        <v>18290</v>
      </c>
      <c r="F150" s="161">
        <f t="shared" si="7"/>
        <v>1829</v>
      </c>
      <c r="G150" s="164"/>
      <c r="H150" s="28" t="s">
        <v>18</v>
      </c>
      <c r="I150" s="26" t="s">
        <v>40</v>
      </c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spans="1:26" ht="21" x14ac:dyDescent="0.25">
      <c r="A151" s="157" t="s">
        <v>330</v>
      </c>
      <c r="B151" s="173" t="s">
        <v>331</v>
      </c>
      <c r="C151" s="157" t="s">
        <v>296</v>
      </c>
      <c r="D151" s="163">
        <v>60</v>
      </c>
      <c r="E151" s="160">
        <f t="shared" si="6"/>
        <v>3720</v>
      </c>
      <c r="F151" s="161">
        <f t="shared" si="7"/>
        <v>372</v>
      </c>
      <c r="G151" s="164"/>
      <c r="H151" s="28" t="s">
        <v>18</v>
      </c>
      <c r="I151" s="168" t="s">
        <v>153</v>
      </c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spans="1:26" ht="21" x14ac:dyDescent="0.25">
      <c r="A152" s="157" t="s">
        <v>332</v>
      </c>
      <c r="B152" s="173" t="s">
        <v>333</v>
      </c>
      <c r="C152" s="157" t="s">
        <v>293</v>
      </c>
      <c r="D152" s="163">
        <v>320</v>
      </c>
      <c r="E152" s="160">
        <f t="shared" si="6"/>
        <v>19840</v>
      </c>
      <c r="F152" s="161">
        <f t="shared" si="7"/>
        <v>1984</v>
      </c>
      <c r="G152" s="164"/>
      <c r="H152" s="28" t="s">
        <v>18</v>
      </c>
      <c r="I152" s="168" t="s">
        <v>40</v>
      </c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spans="1:26" ht="21" x14ac:dyDescent="0.25">
      <c r="A153" s="174" t="s">
        <v>334</v>
      </c>
      <c r="B153" s="175" t="s">
        <v>335</v>
      </c>
      <c r="C153" s="176" t="s">
        <v>336</v>
      </c>
      <c r="D153" s="177">
        <v>13</v>
      </c>
      <c r="E153" s="160">
        <f t="shared" ref="E153:E156" si="8">D153*$E$1*10</f>
        <v>8060</v>
      </c>
      <c r="F153" s="51">
        <f t="shared" ref="F153:F156" si="9">D153*$E$1</f>
        <v>806</v>
      </c>
      <c r="G153" s="178" t="s">
        <v>27</v>
      </c>
      <c r="H153" s="28" t="s">
        <v>18</v>
      </c>
      <c r="I153" s="168" t="s">
        <v>28</v>
      </c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spans="1:26" ht="21" x14ac:dyDescent="0.25">
      <c r="A154" s="174" t="s">
        <v>337</v>
      </c>
      <c r="B154" s="179" t="s">
        <v>338</v>
      </c>
      <c r="C154" s="176" t="s">
        <v>336</v>
      </c>
      <c r="D154" s="177">
        <v>7</v>
      </c>
      <c r="E154" s="160">
        <f t="shared" si="8"/>
        <v>4340</v>
      </c>
      <c r="F154" s="51">
        <f t="shared" si="9"/>
        <v>434</v>
      </c>
      <c r="G154" s="178" t="s">
        <v>27</v>
      </c>
      <c r="H154" s="28" t="s">
        <v>18</v>
      </c>
      <c r="I154" s="168" t="s">
        <v>28</v>
      </c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spans="1:26" ht="21" x14ac:dyDescent="0.25">
      <c r="A155" s="174" t="s">
        <v>339</v>
      </c>
      <c r="B155" s="174" t="s">
        <v>340</v>
      </c>
      <c r="C155" s="176" t="s">
        <v>336</v>
      </c>
      <c r="D155" s="177">
        <v>42</v>
      </c>
      <c r="E155" s="160">
        <f t="shared" si="8"/>
        <v>26040</v>
      </c>
      <c r="F155" s="51">
        <f t="shared" si="9"/>
        <v>2604</v>
      </c>
      <c r="G155" s="178" t="s">
        <v>27</v>
      </c>
      <c r="H155" s="52" t="s">
        <v>43</v>
      </c>
      <c r="I155" s="168" t="s">
        <v>40</v>
      </c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spans="1:26" ht="22" thickBot="1" x14ac:dyDescent="0.3">
      <c r="A156" s="174" t="s">
        <v>341</v>
      </c>
      <c r="B156" s="180" t="s">
        <v>342</v>
      </c>
      <c r="C156" s="176" t="s">
        <v>336</v>
      </c>
      <c r="D156" s="177">
        <v>11</v>
      </c>
      <c r="E156" s="160">
        <f t="shared" si="8"/>
        <v>6820</v>
      </c>
      <c r="F156" s="51">
        <f t="shared" si="9"/>
        <v>682</v>
      </c>
      <c r="G156" s="178" t="s">
        <v>27</v>
      </c>
      <c r="H156" s="28" t="s">
        <v>18</v>
      </c>
      <c r="I156" s="168" t="s">
        <v>28</v>
      </c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spans="1:26" ht="24" thickTop="1" thickBot="1" x14ac:dyDescent="0.3">
      <c r="A157" s="181" t="s">
        <v>343</v>
      </c>
      <c r="B157" s="182" t="s">
        <v>344</v>
      </c>
      <c r="C157" s="183" t="s">
        <v>345</v>
      </c>
      <c r="D157" s="184">
        <v>146</v>
      </c>
      <c r="E157" s="160">
        <f t="shared" ref="E157:E164" si="10">D157*$E$1</f>
        <v>9052</v>
      </c>
      <c r="F157" s="185">
        <f t="shared" ref="F157:F159" si="11">E157/10</f>
        <v>905.2</v>
      </c>
      <c r="G157" s="39" t="s">
        <v>32</v>
      </c>
      <c r="H157" s="28" t="s">
        <v>18</v>
      </c>
      <c r="I157" s="168" t="s">
        <v>59</v>
      </c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spans="1:26" ht="23" thickTop="1" x14ac:dyDescent="0.25">
      <c r="A158" s="157" t="s">
        <v>346</v>
      </c>
      <c r="B158" s="173" t="s">
        <v>347</v>
      </c>
      <c r="C158" s="157" t="s">
        <v>329</v>
      </c>
      <c r="D158" s="163">
        <v>238</v>
      </c>
      <c r="E158" s="160">
        <f t="shared" si="10"/>
        <v>14756</v>
      </c>
      <c r="F158" s="161">
        <f t="shared" si="11"/>
        <v>1475.6</v>
      </c>
      <c r="G158" s="39" t="s">
        <v>32</v>
      </c>
      <c r="H158" s="52" t="s">
        <v>43</v>
      </c>
      <c r="I158" s="168" t="s">
        <v>40</v>
      </c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spans="1:26" ht="23" thickBot="1" x14ac:dyDescent="0.3">
      <c r="A159" s="169" t="s">
        <v>348</v>
      </c>
      <c r="B159" s="186" t="s">
        <v>349</v>
      </c>
      <c r="C159" s="169" t="s">
        <v>329</v>
      </c>
      <c r="D159" s="187">
        <v>238</v>
      </c>
      <c r="E159" s="188">
        <f t="shared" si="10"/>
        <v>14756</v>
      </c>
      <c r="F159" s="189">
        <f t="shared" si="11"/>
        <v>1475.6</v>
      </c>
      <c r="G159" s="39" t="s">
        <v>32</v>
      </c>
      <c r="H159" s="52" t="s">
        <v>43</v>
      </c>
      <c r="I159" s="168" t="s">
        <v>40</v>
      </c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spans="1:26" ht="23" thickTop="1" x14ac:dyDescent="0.25">
      <c r="A160" s="190" t="s">
        <v>350</v>
      </c>
      <c r="B160" s="191" t="s">
        <v>351</v>
      </c>
      <c r="C160" s="192" t="s">
        <v>352</v>
      </c>
      <c r="D160" s="193">
        <v>14</v>
      </c>
      <c r="E160" s="194">
        <f t="shared" si="10"/>
        <v>868</v>
      </c>
      <c r="F160" s="195">
        <f>D160*$E$1</f>
        <v>868</v>
      </c>
      <c r="G160" s="31" t="s">
        <v>27</v>
      </c>
      <c r="H160" s="28" t="s">
        <v>18</v>
      </c>
      <c r="I160" s="168" t="s">
        <v>59</v>
      </c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spans="1:26" ht="21" x14ac:dyDescent="0.25">
      <c r="A161" s="196" t="s">
        <v>353</v>
      </c>
      <c r="B161" s="173" t="s">
        <v>354</v>
      </c>
      <c r="C161" s="157" t="s">
        <v>355</v>
      </c>
      <c r="D161" s="163">
        <v>60</v>
      </c>
      <c r="E161" s="160">
        <f t="shared" si="10"/>
        <v>3720</v>
      </c>
      <c r="F161" s="161">
        <f t="shared" ref="F161:F164" si="12">E161/10</f>
        <v>372</v>
      </c>
      <c r="G161" s="39"/>
      <c r="H161" s="28" t="s">
        <v>18</v>
      </c>
      <c r="I161" s="168" t="s">
        <v>56</v>
      </c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spans="1:26" ht="22" x14ac:dyDescent="0.25">
      <c r="A162" s="196" t="s">
        <v>356</v>
      </c>
      <c r="B162" s="173" t="s">
        <v>357</v>
      </c>
      <c r="C162" s="157" t="s">
        <v>358</v>
      </c>
      <c r="D162" s="163">
        <v>60</v>
      </c>
      <c r="E162" s="160">
        <f t="shared" si="10"/>
        <v>3720</v>
      </c>
      <c r="F162" s="161">
        <f t="shared" si="12"/>
        <v>372</v>
      </c>
      <c r="G162" s="39" t="s">
        <v>32</v>
      </c>
      <c r="H162" s="28" t="s">
        <v>18</v>
      </c>
      <c r="I162" s="168" t="s">
        <v>56</v>
      </c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spans="1:26" ht="21" x14ac:dyDescent="0.25">
      <c r="A163" s="196" t="s">
        <v>359</v>
      </c>
      <c r="B163" s="173" t="s">
        <v>360</v>
      </c>
      <c r="C163" s="157" t="s">
        <v>361</v>
      </c>
      <c r="D163" s="163">
        <v>80</v>
      </c>
      <c r="E163" s="160">
        <f t="shared" si="10"/>
        <v>4960</v>
      </c>
      <c r="F163" s="161">
        <f t="shared" si="12"/>
        <v>496</v>
      </c>
      <c r="G163" s="39"/>
      <c r="H163" s="28" t="s">
        <v>18</v>
      </c>
      <c r="I163" s="168" t="s">
        <v>19</v>
      </c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spans="1:26" ht="22" thickBot="1" x14ac:dyDescent="0.3">
      <c r="A164" s="197" t="s">
        <v>362</v>
      </c>
      <c r="B164" s="198" t="s">
        <v>363</v>
      </c>
      <c r="C164" s="199" t="s">
        <v>364</v>
      </c>
      <c r="D164" s="200">
        <v>60</v>
      </c>
      <c r="E164" s="160">
        <f t="shared" si="10"/>
        <v>3720</v>
      </c>
      <c r="F164" s="161">
        <f t="shared" si="12"/>
        <v>372</v>
      </c>
      <c r="G164" s="39"/>
      <c r="H164" s="28" t="s">
        <v>18</v>
      </c>
      <c r="I164" s="168" t="s">
        <v>59</v>
      </c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spans="1:26" ht="291" thickTop="1" thickBot="1" x14ac:dyDescent="0.3">
      <c r="A165" s="197" t="s">
        <v>365</v>
      </c>
      <c r="B165" s="198" t="s">
        <v>366</v>
      </c>
      <c r="C165" s="201" t="s">
        <v>367</v>
      </c>
      <c r="D165" s="200">
        <v>44.36</v>
      </c>
      <c r="E165" s="160">
        <v>275</v>
      </c>
      <c r="F165" s="202">
        <v>275</v>
      </c>
      <c r="G165" s="31" t="s">
        <v>368</v>
      </c>
      <c r="H165" s="28" t="s">
        <v>18</v>
      </c>
      <c r="I165" s="168" t="s">
        <v>40</v>
      </c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spans="1:26" ht="51" thickTop="1" thickBot="1" x14ac:dyDescent="0.3">
      <c r="A166" s="197" t="s">
        <v>369</v>
      </c>
      <c r="B166" s="198" t="s">
        <v>370</v>
      </c>
      <c r="C166" s="201" t="s">
        <v>371</v>
      </c>
      <c r="D166" s="200">
        <v>232.5</v>
      </c>
      <c r="E166" s="160">
        <f>D166*$E$1</f>
        <v>14415</v>
      </c>
      <c r="F166" s="161">
        <v>14415</v>
      </c>
      <c r="G166" s="31" t="s">
        <v>372</v>
      </c>
      <c r="H166" s="203" t="s">
        <v>373</v>
      </c>
      <c r="I166" s="168" t="s">
        <v>40</v>
      </c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spans="1:26" ht="17" thickTop="1" x14ac:dyDescent="0.2"/>
  </sheetData>
  <mergeCells count="13">
    <mergeCell ref="B148:B150"/>
    <mergeCell ref="B35:B36"/>
    <mergeCell ref="B37:B38"/>
    <mergeCell ref="B47:B48"/>
    <mergeCell ref="H47:H48"/>
    <mergeCell ref="B72:B73"/>
    <mergeCell ref="B124:B125"/>
    <mergeCell ref="A2:F2"/>
    <mergeCell ref="A3:F3"/>
    <mergeCell ref="B13:B18"/>
    <mergeCell ref="B19:B26"/>
    <mergeCell ref="B27:B31"/>
    <mergeCell ref="B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 Parejo</dc:creator>
  <cp:lastModifiedBy>Riva Parejo</cp:lastModifiedBy>
  <dcterms:created xsi:type="dcterms:W3CDTF">2026-04-09T04:37:31Z</dcterms:created>
  <dcterms:modified xsi:type="dcterms:W3CDTF">2026-04-09T04:39:12Z</dcterms:modified>
</cp:coreProperties>
</file>